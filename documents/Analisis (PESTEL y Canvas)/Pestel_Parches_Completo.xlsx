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vo" sheetId="1" state="visible" r:id="rId3"/>
    <sheet name="Áreas" sheetId="2" state="visible" r:id="rId4"/>
    <sheet name="F_Pol" sheetId="3" state="visible" r:id="rId5"/>
    <sheet name="F_Eco" sheetId="4" state="visible" r:id="rId6"/>
    <sheet name="F_Soc" sheetId="5" state="visible" r:id="rId7"/>
    <sheet name="F_Tec" sheetId="6" state="visible" r:id="rId8"/>
    <sheet name="F_Amb" sheetId="7" state="visible" r:id="rId9"/>
    <sheet name="F_Leg" sheetId="8" state="visible" r:id="rId10"/>
    <sheet name="Matriz PESTEL" sheetId="9" state="visible" r:id="rId11"/>
    <sheet name="Rel_PESTE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<sst xmlns="http://schemas.openxmlformats.org/spreadsheetml/2006/main" count="406" uniqueCount="169">
  <si>
    <t xml:space="preserve">Manual del usuario</t>
  </si>
  <si>
    <t xml:space="preserve">Por primera vez el termino PEST fue utilizado por Francisco Aguilar en su libro de 1967 «Análisis del entorno empresarial». El acrónimo PEST hace referencia a los Factores Políticos, a los Factores Económicos, a los Factores Sociológicos y a los Factores Tecnológicos que afectan a una compañía desde su macro-entorno.
El «EL» a el término PEST, dando lugar al término PESTEL, se añadió por Liam Fahey y V.K. Narayanan en su libro, publicado en 1986, «Análisis Macro-ambiental en Gestión Estratégica». El «EL» añadido a «PEST» hace referencia a los Factores Ecológicos y a los Factores Legales, ambos de creciente importancia en los últimos tiempos.</t>
  </si>
  <si>
    <t xml:space="preserve">1- En el libro áreas, ya están creadas las áreas respectivas, para nuestro caso seis áreas.</t>
  </si>
  <si>
    <t xml:space="preserve">2- Posteriormente, hay unas hojas que inician con la letra F, esto identifica como factor y luego las áreas</t>
  </si>
  <si>
    <t xml:space="preserve">3- En cada hoja de este libro, que incluye factores, podemos eliminar o cambiar aspectos a evaluar en cada factor, no introducimos o cambiamos información en la Matriz Pestel o en el informe final</t>
  </si>
  <si>
    <t xml:space="preserve">4- Los aspectos son medidos en tres dimensiones, la primera dimensión es la importancia,  mide que tan importante es el aspecto, que asu vez tiene 5 variables: Sin importancia=1, Poco Importnate=2, Indiferente=3, Importante=4, Muy importante=5
La segunda dimensión es la Intensidad, que tambien es evaluada en 5 variables, y es la que nos indica que tan fuerte o debil es esa intensidad, las 5 variables son: Muy fuerte=5, Fuerte=4, Promedio=3, Debil=2, Muy Debil=1
La tercera dimensión es la Tendencia, que evalua cual va hacer el comportamiento del aspecto: Mejora Mucho=5, Mejora=4, Indiferente=3 Peor=2, Mucho Peor=1  </t>
  </si>
  <si>
    <t xml:space="preserve">5- Para hacer dicho análisis, es necesario leer los link que se encuentan en la parte inferior, con esto cerramos lo de la pregunta integradora y hace parte del capitulo de la evaluación de proyectos del Dr. Mauricio Mejía.</t>
  </si>
  <si>
    <t xml:space="preserve">https://www.garrigues.com/es_ES/guias/guia-para-hacer-negocios-en-colombia</t>
  </si>
  <si>
    <t xml:space="preserve">https://www2.deloitte.com/co/es/pages/tax/articles/doing-bussiness-colombia-2019.html</t>
  </si>
  <si>
    <t xml:space="preserve">https://www.pwc.com/co/en/publications/technology/Doing%20Business%202019%20PwC.pdf</t>
  </si>
  <si>
    <t xml:space="preserve">https://intelligence.weforum.org/topics/a1Gb0000000pTD7EAM?tab=publications</t>
  </si>
  <si>
    <t xml:space="preserve">https://www.colombiaproductiva.com/ptp-capacita/capacitaciones</t>
  </si>
  <si>
    <t xml:space="preserve">Políticos</t>
  </si>
  <si>
    <t xml:space="preserve">Económicos</t>
  </si>
  <si>
    <t xml:space="preserve">Sociales</t>
  </si>
  <si>
    <t xml:space="preserve">Tecnológicos</t>
  </si>
  <si>
    <t xml:space="preserve">Ambientales</t>
  </si>
  <si>
    <t xml:space="preserve">Legales</t>
  </si>
  <si>
    <t xml:space="preserve">Parches - Plataforma de Eventos y Networking</t>
  </si>
  <si>
    <t xml:space="preserve">FACTOR POLÍTICO</t>
  </si>
  <si>
    <t xml:space="preserve">Aspectos a evaluar en Factores Políticos</t>
  </si>
  <si>
    <t xml:space="preserve">¿Cómo podrán impactar los aspectos listados en cada uno de los factores de la izquierda en su negocio?</t>
  </si>
  <si>
    <t xml:space="preserve">Importancia</t>
  </si>
  <si>
    <t xml:space="preserve">Marco Temporal</t>
  </si>
  <si>
    <t xml:space="preserve">Intensidad</t>
  </si>
  <si>
    <t xml:space="preserve">Tipo de tendencia</t>
  </si>
  <si>
    <t xml:space="preserve">Puntuación</t>
  </si>
  <si>
    <t xml:space="preserve">Estabilidad política y social en Colombia</t>
  </si>
  <si>
    <t xml:space="preserve">La estabilidad política determina el entorno seguro para eventos presenciales y actividades de grupo</t>
  </si>
  <si>
    <t xml:space="preserve">Muy importante</t>
  </si>
  <si>
    <t xml:space="preserve">Indefinido</t>
  </si>
  <si>
    <t xml:space="preserve">Muy fuerte</t>
  </si>
  <si>
    <t xml:space="preserve">Mejora</t>
  </si>
  <si>
    <t xml:space="preserve">Política digital y regulación de plataformas tech</t>
  </si>
  <si>
    <t xml:space="preserve">Regulación gubernamental sobre privacidad biométrica y datos personales que recopila la plataforma</t>
  </si>
  <si>
    <t xml:space="preserve">Fuerte</t>
  </si>
  <si>
    <t xml:space="preserve">Apoyo estatal a emprendimientos digitales y startups</t>
  </si>
  <si>
    <t xml:space="preserve">Beneficios fiscales, incubadoras y programas de apoyo a startups tech en Colombia</t>
  </si>
  <si>
    <t xml:space="preserve">Importante</t>
  </si>
  <si>
    <t xml:space="preserve">Declaratoria de desastre nacional y capacidad de respuesta institucional</t>
  </si>
  <si>
    <t xml:space="preserve">El terremoto de magnitud 7,4 del 10 de agosto de 2026 (Chocó) llevó al Gobierno a declarar desastre nacional; la coordinación de la UNGRD y las alcaldías redefine permisos para aforos y eventos públicos, y prioriza inversión estatal y flexibilidad regulatoria en las zonas afectadas</t>
  </si>
  <si>
    <t xml:space="preserve">Definido</t>
  </si>
  <si>
    <t xml:space="preserve">Sin importancia</t>
  </si>
  <si>
    <t xml:space="preserve">P1</t>
  </si>
  <si>
    <t xml:space="preserve">http://www.fao.org/3/j7507s/j7507s10.htm</t>
  </si>
  <si>
    <t xml:space="preserve">Poco importante</t>
  </si>
  <si>
    <t xml:space="preserve">P2</t>
  </si>
  <si>
    <t xml:space="preserve">[https://www.dnp.gov.co/inversiones-y-finanzas-publicas/]</t>
  </si>
  <si>
    <t xml:space="preserve">Indiferente</t>
  </si>
  <si>
    <t xml:space="preserve">P3</t>
  </si>
  <si>
    <t xml:space="preserve">[https://transparenciacolombia.org.co/monitor-ciudadano/]</t>
  </si>
  <si>
    <t xml:space="preserve">Muy Fuerte</t>
  </si>
  <si>
    <t xml:space="preserve">Promedio</t>
  </si>
  <si>
    <t xml:space="preserve">Débil</t>
  </si>
  <si>
    <t xml:space="preserve">Muy Débil</t>
  </si>
  <si>
    <t xml:space="preserve">Tendencia</t>
  </si>
  <si>
    <t xml:space="preserve">Mejora Mucho</t>
  </si>
  <si>
    <t xml:space="preserve">Peor</t>
  </si>
  <si>
    <t xml:space="preserve">Mucho Peor</t>
  </si>
  <si>
    <t xml:space="preserve">La puntuación global de los factores políticos</t>
  </si>
  <si>
    <t xml:space="preserve">Marco temporal</t>
  </si>
  <si>
    <t xml:space="preserve">[https://www.funcionpublica.gov.co/eva/gestornormativo/norma.php?i=39430]</t>
  </si>
  <si>
    <t xml:space="preserve">FACTOR ECONÓMICO</t>
  </si>
  <si>
    <t xml:space="preserve">Aspectos a evaluar en Factores Económicos</t>
  </si>
  <si>
    <t xml:space="preserve">Tipo de Tendencia</t>
  </si>
  <si>
    <t xml:space="preserve">Poder adquisitivo de jóvenes y profesionales</t>
  </si>
  <si>
    <t xml:space="preserve">Capacidad económica del público objetivo para pagar eventos, boletería y actividades</t>
  </si>
  <si>
    <t xml:space="preserve">Crecimiento del sector de entretenimiento y ocio</t>
  </si>
  <si>
    <t xml:space="preserve">Expansión post-COVID de cines, bares, eventos culturales y experiencias recreativas</t>
  </si>
  <si>
    <t xml:space="preserve">Mejora mucho</t>
  </si>
  <si>
    <t xml:space="preserve">Inflación y variación en costos operacionales</t>
  </si>
  <si>
    <t xml:space="preserve">Impacto de la inflación en costos de servidores, integración de APIs y operación general; el terremoto del 10 de agosto de 2026 añade presión adicional (~10 pbs proyectados al cierre de 2026, según Banco de Occidente) por costos de reconstrucción, logística y materiales</t>
  </si>
  <si>
    <t xml:space="preserve">Integración de pasarelas de pago locales</t>
  </si>
  <si>
    <t xml:space="preserve">Disponibilidad de proveedores colombianos (Wompi, PayU, Nequi) para monetización</t>
  </si>
  <si>
    <t xml:space="preserve">E1</t>
  </si>
  <si>
    <t xml:space="preserve">https://www.dane.gov.co/index.php/estadisticas-por-tema/cuentas-nacionales/cuentas-nacionales-trimestrales/pib-informacion-tecnica</t>
  </si>
  <si>
    <t xml:space="preserve">E2</t>
  </si>
  <si>
    <t xml:space="preserve">https://www.elcolombiano.com/negocios/terremoto-10-agosto-reduciria-pib-colombia-2026-FB40278397</t>
  </si>
  <si>
    <t xml:space="preserve">E3</t>
  </si>
  <si>
    <t xml:space="preserve">https://colombiafintech.co/contenidos-propios/pagos-digitales-2025/</t>
  </si>
  <si>
    <t xml:space="preserve">La puntuación global de los factores económicos</t>
  </si>
  <si>
    <t xml:space="preserve">FACTOR SOCIAL</t>
  </si>
  <si>
    <t xml:space="preserve">Aspectos a evaluar en Factores Sociales</t>
  </si>
  <si>
    <t xml:space="preserve">Urbanización y aislamiento social en ciudades</t>
  </si>
  <si>
    <t xml:space="preserve">Tendencia de soledad urbana que crea demanda de conexión social y networking</t>
  </si>
  <si>
    <t xml:space="preserve">Cultura de agrupación social (parches informales)</t>
  </si>
  <si>
    <t xml:space="preserve">Disposición cultural colombiana a formar "parches" y eventos sociales espontáneos</t>
  </si>
  <si>
    <t xml:space="preserve">Aceptación de plataformas digitales sociales entre jóvenes</t>
  </si>
  <si>
    <t xml:space="preserve">Adopción de apps de dating, redes sociales y networking entre millennials y Gen Z</t>
  </si>
  <si>
    <t xml:space="preserve">Preocupaciones de seguridad en encuentros presenciales</t>
  </si>
  <si>
    <t xml:space="preserve">Riesgos percibidos de asistir a eventos con desconocidos, especialmente en mujeres; esta desconfianza se intensifica tras el terremoto de agosto de 2026 por la incertidumbre sobre la seguridad estructural de edificaciones y espacios públicos en las zonas afectadas</t>
  </si>
  <si>
    <t xml:space="preserve">S1</t>
  </si>
  <si>
    <t xml:space="preserve">https://www.portafolio.co/economia/desempleo-en-colombia-durante-febrero-de-2021-550562</t>
  </si>
  <si>
    <t xml:space="preserve">S2</t>
  </si>
  <si>
    <t xml:space="preserve">https://www.mineducacion.gov.co/1759/w3-article-401621.html?_noredirect=1</t>
  </si>
  <si>
    <t xml:space="preserve">S3</t>
  </si>
  <si>
    <t xml:space="preserve">http://poblacion.population.city/colombia/tulua/#:~:text=Responder%3A%20Tulu%C3%A1%2C%20Colombia%20(unidad,2021%20ser%C3%ADa%3A%20227%20043*.</t>
  </si>
  <si>
    <t xml:space="preserve">La puntuación global de los factores sociales</t>
  </si>
  <si>
    <t xml:space="preserve">FACTOR TECNOLÓGICO</t>
  </si>
  <si>
    <t xml:space="preserve">Aspectos a evaluar en Factores Tecnológicos </t>
  </si>
  <si>
    <t xml:space="preserve">Penetración de internet y smartphones en Colombia</t>
  </si>
  <si>
    <t xml:space="preserve">Cobertura móvil y acceso a internet necesario para usar la PWA</t>
  </si>
  <si>
    <t xml:space="preserve">Disponibilidad de APIs de geolocalización y mapas</t>
  </si>
  <si>
    <t xml:space="preserve">Acceso a Google Maps, Mapbox u otras APIs para ubicar eventos en tiempo real</t>
  </si>
  <si>
    <t xml:space="preserve">Madurez de tecnologías biométricas y facial recognition</t>
  </si>
  <si>
    <t xml:space="preserve">Disponibilidad de servicios de verificación facial (liveness detection) en Colombia</t>
  </si>
  <si>
    <t xml:space="preserve">Infraestructura cloud y hosting colombiano</t>
  </si>
  <si>
    <t xml:space="preserve">Disponibilidad de servidores confiables locales o regionales para cumplir GDPR y Habeas Data; el terremoto de agosto de 2026 evidenció la fragilidad de la conectividad (cortes masivos de electricidad, telefonía e internet en Chocó, Valle del Cauca, Risaralda, Quindío y Caldas), lo que exige arquitectura redundante y modo offline para la continuidad del servicio</t>
  </si>
  <si>
    <t xml:space="preserve">T1</t>
  </si>
  <si>
    <t xml:space="preserve">https://www.mintic.gov.co/portal/715/w3-article-428676.html</t>
  </si>
  <si>
    <t xml:space="preserve">T2</t>
  </si>
  <si>
    <t xml:space="preserve">https://www.infobae.com/tecno/2026/08/10/colombia-tiene-fallas-en-telecomunicaciones-tras-el-terremoto-claro-y-tigo-con-telefonia-e-internet/</t>
  </si>
  <si>
    <t xml:space="preserve">T3</t>
  </si>
  <si>
    <t xml:space="preserve">https://revistacloud.com/colombia-recupera-sus-telecomunicaciones-tras-el-terremoto-el-80-de-la-red-de-claro-vuelve-a-operar</t>
  </si>
  <si>
    <t xml:space="preserve">La puntuación global de los factores tecnológicos</t>
  </si>
  <si>
    <t xml:space="preserve">FACTOR AMBIENTAL</t>
  </si>
  <si>
    <t xml:space="preserve">Aspectos a evaluar Factores Ambientales</t>
  </si>
  <si>
    <t xml:space="preserve">Sostenibilidad de eventos y movilidad urbana</t>
  </si>
  <si>
    <t xml:space="preserve">Impacto ambiental de incentivar desplazamientos urbanos para asistir a eventos</t>
  </si>
  <si>
    <t xml:space="preserve">Carbono digital y consumo energético de servidores</t>
  </si>
  <si>
    <t xml:space="preserve">Huella de carbono de la plataforma en hosting y procesamiento de datos</t>
  </si>
  <si>
    <t xml:space="preserve">Amenazas por medio de la pandemia COVID 19 en el ambiente </t>
  </si>
  <si>
    <t xml:space="preserve">Los cierres, aforos limitados y cancelaciones de eventos presenciales derivados de emergencias sanitarias como el COVID-19 afectan directamente la operación de una plataforma centrada en encuentros presenciales, obligando a prever protocolos de bioseguridad y flexibilidad ante restricciones de aforo</t>
  </si>
  <si>
    <t xml:space="preserve">Riesgo sísmico y desastres naturales en Colombia</t>
  </si>
  <si>
    <t xml:space="preserve">El terremoto de magnitud 7,4 del 10 de agosto de 2026 en Chocó (más de 176 muertos, desastre nacional declarado, daños estimados entre $20 y $40 billones) confirma que Colombia opera en zona de alto riesgo sísmico; obliga a evaluar la seguridad estructural de los recintos aliados e incorporar cláusulas de fuerza mayor y seguros para eventos presenciales</t>
  </si>
  <si>
    <t xml:space="preserve">EC1</t>
  </si>
  <si>
    <t xml:space="preserve">https://amenazasismica.sgc.gov.co/</t>
  </si>
  <si>
    <t xml:space="preserve">EC2</t>
  </si>
  <si>
    <t xml:space="preserve">https://www.idiger.gov.co/escenarios-de-riesgo/sismico/en-colombia</t>
  </si>
  <si>
    <t xml:space="preserve">EC3</t>
  </si>
  <si>
    <t xml:space="preserve">https://www.paho.org/es/documentos/informe-situacion-1-colombia-terremoto-agosto-2026-10-agosto-2026</t>
  </si>
  <si>
    <t xml:space="preserve">La puntuación global de los factores ambientales</t>
  </si>
  <si>
    <t xml:space="preserve">FACTOR LEGAL</t>
  </si>
  <si>
    <t xml:space="preserve">Aspectos a evaluar Factores Legales</t>
  </si>
  <si>
    <t xml:space="preserve">Ley Habeas Data y protección de datos biométricos</t>
  </si>
  <si>
    <t xml:space="preserve">Cumplimiento normativo para almacenar fotos, cédulas y datos biométricos de usuarios</t>
  </si>
  <si>
    <t xml:space="preserve">Responsabilidad civil por encuentros presenciales</t>
  </si>
  <si>
    <t xml:space="preserve">Marco legal para incidentes, robos o conflictos derivados de eventos organizados en la plataforma, que ahora también debe contemplar la responsabilidad civil ante daños estructurales o cancelaciones forzadas por desastres naturales como el terremoto de agosto de 2026</t>
  </si>
  <si>
    <t xml:space="preserve">Regulación de transacciones y boletería digital</t>
  </si>
  <si>
    <t xml:space="preserve">Normas sobre devoluciones, cancelaciones y protección del consumidor en venta de entradas (Ley 1480 de 2011); la SIC ya ha sancionado a plataformas de boletería por no reembolsar eventos cancelados, un antecedente clave ante cancelaciones masivas por desastres naturales declarados</t>
  </si>
  <si>
    <t xml:space="preserve">Verificación de identidad y documentos (Cédula de Ciudadanía)</t>
  </si>
  <si>
    <t xml:space="preserve">Legalidad de usar y procesar documento de identidad para validación de usuarios</t>
  </si>
  <si>
    <t xml:space="preserve">L1</t>
  </si>
  <si>
    <t xml:space="preserve">https://www.funcionpublica.gov.co/eva/gestornormativo/norma.php?i=49981</t>
  </si>
  <si>
    <t xml:space="preserve">L2</t>
  </si>
  <si>
    <t xml:space="preserve">https://www.funcionpublica.gov.co/eva/gestornormativo/norma.php?i=44306</t>
  </si>
  <si>
    <t xml:space="preserve">L3</t>
  </si>
  <si>
    <t xml:space="preserve">https://www.sic.gov.co/superindustria-ordena-a-tuticket-reintegrar-inmediatamente-el-dinero-a-los-consumidores-que-adquirieron-boleteria-para-17-espectaculos-que-fueron-cancelados</t>
  </si>
  <si>
    <t xml:space="preserve">La puntuación global de los factores legales</t>
  </si>
  <si>
    <t xml:space="preserve">Nombre de la empresa / y del proyecto</t>
  </si>
  <si>
    <t xml:space="preserve">Factores Políticos (P)</t>
  </si>
  <si>
    <t xml:space="preserve">Factores Económicos (E)</t>
  </si>
  <si>
    <t xml:space="preserve">Factores Sociales (S)</t>
  </si>
  <si>
    <t xml:space="preserve">Top 5 Factores Políticos</t>
  </si>
  <si>
    <t xml:space="preserve">Top 5 Factores Económicos</t>
  </si>
  <si>
    <t xml:space="preserve">Top 5 Factores Sociales</t>
  </si>
  <si>
    <t xml:space="preserve">Factores Tecnológicos (T)</t>
  </si>
  <si>
    <t xml:space="preserve">Factores Ambientales (A)</t>
  </si>
  <si>
    <t xml:space="preserve">Factores Legales (L)</t>
  </si>
  <si>
    <t xml:space="preserve">Top 5 Factores Tecnológicos</t>
  </si>
  <si>
    <t xml:space="preserve">Top 5 Factores Ambientales</t>
  </si>
  <si>
    <t xml:space="preserve">Top 5 Fatores Legales</t>
  </si>
  <si>
    <t xml:space="preserve">Análisis general de factores de PESTEL</t>
  </si>
  <si>
    <t xml:space="preserve">Factores Políticos</t>
  </si>
  <si>
    <t xml:space="preserve">Factores Económicos</t>
  </si>
  <si>
    <t xml:space="preserve">Factores Sociales</t>
  </si>
  <si>
    <t xml:space="preserve">Factores Tecnológicos</t>
  </si>
  <si>
    <t xml:space="preserve">Factores Ambientales</t>
  </si>
  <si>
    <t xml:space="preserve">Factores Legales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</si>
</sst>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General"/>
    <numFmt numFmtId="167" formatCode="_(* #,##0.00000_);_(* \(#,##0.00000\);_(* \-??_);_(@_)"/>
    <numFmt numFmtId="168" formatCode="_(* #,##0_);_(* \(#,##0\);_(* \-??_);_(@_)"/>
    <numFmt numFmtId="169" formatCode="&quot;R$ &quot;#,##0.00"/>
    <numFmt numFmtId="170" formatCode="0%"/>
  </numFmts>
  <fonts count="3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0"/>
      <charset val="134"/>
    </font>
    <font>
      <i val="true"/>
      <sz val="11"/>
      <color rgb="FF000000"/>
      <name val="Calibri"/>
      <family val="0"/>
      <charset val="134"/>
    </font>
    <font>
      <u val="single"/>
      <sz val="11"/>
      <color rgb="FF0563C1"/>
      <name val="Calibri"/>
      <family val="0"/>
      <charset val="134"/>
    </font>
    <font>
      <b val="true"/>
      <i val="true"/>
      <sz val="11"/>
      <color rgb="FFFFFFFF"/>
      <name val="Calibri"/>
      <family val="0"/>
      <charset val="134"/>
    </font>
    <font>
      <sz val="16"/>
      <color rgb="FF000000"/>
      <name val="Calibri"/>
      <family val="0"/>
      <charset val="134"/>
    </font>
    <font>
      <b val="true"/>
      <sz val="16"/>
      <color rgb="FFFFFFFF"/>
      <name val="Calibri"/>
      <family val="0"/>
      <charset val="134"/>
    </font>
    <font>
      <sz val="11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FFFFFF"/>
      <name val="Calibri"/>
      <family val="0"/>
      <charset val="134"/>
    </font>
    <font>
      <b val="true"/>
      <sz val="11"/>
      <name val="Calibri"/>
      <family val="0"/>
      <charset val="134"/>
    </font>
    <font>
      <b val="true"/>
      <sz val="14"/>
      <color rgb="FF000000"/>
      <name val="Calibri"/>
      <family val="0"/>
      <charset val="134"/>
    </font>
    <font>
      <sz val="11"/>
      <color rgb="FF8496B0"/>
      <name val="Calibri"/>
      <family val="0"/>
      <charset val="134"/>
    </font>
    <font>
      <b val="true"/>
      <sz val="11"/>
      <color rgb="FFFFFFFF"/>
      <name val="Calibri"/>
      <family val="0"/>
      <charset val="134"/>
    </font>
    <font>
      <b val="true"/>
      <sz val="14"/>
      <name val="Calibri"/>
      <family val="0"/>
      <charset val="134"/>
    </font>
    <font>
      <sz val="16"/>
      <name val="Calibri"/>
      <family val="0"/>
      <charset val="134"/>
    </font>
    <font>
      <b val="true"/>
      <sz val="16"/>
      <name val="Calibri"/>
      <family val="0"/>
      <charset val="134"/>
    </font>
    <font>
      <sz val="14"/>
      <name val="Calibri"/>
      <family val="0"/>
      <charset val="134"/>
    </font>
    <font>
      <sz val="12"/>
      <name val="Calibri"/>
      <family val="0"/>
      <charset val="134"/>
    </font>
    <font>
      <sz val="14"/>
      <color rgb="FF000000"/>
      <name val="Calibri"/>
      <family val="0"/>
      <charset val="134"/>
    </font>
    <font>
      <b val="true"/>
      <sz val="16"/>
      <color rgb="FF333333"/>
      <name val="Calibri"/>
      <family val="0"/>
      <charset val="134"/>
    </font>
    <font>
      <b val="true"/>
      <sz val="14"/>
      <color rgb="FF333333"/>
      <name val="Calibri"/>
      <family val="0"/>
      <charset val="134"/>
    </font>
    <font>
      <b val="true"/>
      <sz val="14"/>
      <color rgb="FF1E4E79"/>
      <name val="Calibri"/>
      <family val="0"/>
      <charset val="134"/>
    </font>
    <font>
      <b val="true"/>
      <sz val="14"/>
      <color rgb="FF006100"/>
      <name val="Calibri"/>
      <family val="0"/>
      <charset val="134"/>
    </font>
    <font>
      <b val="true"/>
      <sz val="14"/>
      <color rgb="FF7F6000"/>
      <name val="Calibri"/>
      <family val="0"/>
      <charset val="134"/>
    </font>
    <font>
      <b val="true"/>
      <sz val="14"/>
      <color rgb="FF833C0B"/>
      <name val="Calibri"/>
      <family val="0"/>
      <charset val="134"/>
    </font>
    <font>
      <b val="true"/>
      <sz val="14"/>
      <color rgb="FF6C0000"/>
      <name val="Calibri"/>
      <family val="0"/>
      <charset val="134"/>
    </font>
    <font>
      <b val="true"/>
      <i val="true"/>
      <sz val="16"/>
      <color rgb="FF000000"/>
      <name val="Calibri"/>
      <family val="2"/>
    </font>
    <font>
      <sz val="10"/>
      <color rgb="FF000000"/>
      <name val="Roboto"/>
      <family val="2"/>
    </font>
  </fonts>
  <fills count="27">
    <fill>
      <patternFill patternType="none"/>
    </fill>
    <fill>
      <patternFill patternType="gray125"/>
    </fill>
    <fill>
      <patternFill patternType="solid">
        <fgColor rgb="FF4472C4"/>
        <bgColor rgb="FF2E75B5"/>
      </patternFill>
    </fill>
    <fill>
      <patternFill patternType="solid">
        <fgColor rgb="FFA5A5A5"/>
        <bgColor rgb="FFAEABAB"/>
      </patternFill>
    </fill>
    <fill>
      <patternFill patternType="solid">
        <fgColor rgb="FFAEABAB"/>
        <bgColor rgb="FFA5A5A5"/>
      </patternFill>
    </fill>
    <fill>
      <patternFill patternType="solid">
        <fgColor rgb="FF222A35"/>
        <bgColor rgb="FF262626"/>
      </patternFill>
    </fill>
    <fill>
      <patternFill patternType="solid">
        <fgColor rgb="FF262626"/>
        <bgColor rgb="FF222A3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CF0F1"/>
      </patternFill>
    </fill>
    <fill>
      <patternFill patternType="solid">
        <fgColor rgb="FF2E75B5"/>
        <bgColor rgb="FF4472C4"/>
      </patternFill>
    </fill>
    <fill>
      <patternFill patternType="solid">
        <fgColor rgb="FF8EAADB"/>
        <bgColor rgb="FF9CC2E5"/>
      </patternFill>
    </fill>
    <fill>
      <patternFill patternType="solid">
        <fgColor rgb="FF558C3E"/>
        <bgColor rgb="FF8B8B8B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D8D8D8"/>
      </patternFill>
    </fill>
    <fill>
      <patternFill patternType="solid">
        <fgColor rgb="FFF2B300"/>
        <bgColor rgb="FFFFC000"/>
      </patternFill>
    </fill>
    <fill>
      <patternFill patternType="solid">
        <fgColor rgb="FFEA6F00"/>
        <bgColor rgb="FFD2462E"/>
      </patternFill>
    </fill>
    <fill>
      <patternFill patternType="solid">
        <fgColor rgb="FFD2462E"/>
        <bgColor rgb="FFEA6F00"/>
      </patternFill>
    </fill>
    <fill>
      <patternFill patternType="solid">
        <fgColor rgb="FFFFC000"/>
        <bgColor rgb="FFF2B300"/>
      </patternFill>
    </fill>
    <fill>
      <patternFill patternType="solid">
        <fgColor rgb="FFFFE598"/>
        <bgColor rgb="FFFFD965"/>
      </patternFill>
    </fill>
    <fill>
      <patternFill patternType="solid">
        <fgColor rgb="FFFFD965"/>
        <bgColor rgb="FFFFE598"/>
      </patternFill>
    </fill>
    <fill>
      <patternFill patternType="solid">
        <fgColor rgb="FFF08F8F"/>
        <bgColor rgb="FFFF8F8F"/>
      </patternFill>
    </fill>
    <fill>
      <patternFill patternType="solid">
        <fgColor rgb="FF0070C0"/>
        <bgColor rgb="FF0563C1"/>
      </patternFill>
    </fill>
    <fill>
      <patternFill patternType="solid">
        <fgColor rgb="FF9CC2E5"/>
        <bgColor rgb="FFB4C6E7"/>
      </patternFill>
    </fill>
    <fill>
      <patternFill patternType="solid">
        <fgColor rgb="FF92D050"/>
        <bgColor rgb="FFB7B7B7"/>
      </patternFill>
    </fill>
    <fill>
      <patternFill patternType="solid">
        <fgColor rgb="FFFFFF00"/>
        <bgColor rgb="FFFFD965"/>
      </patternFill>
    </fill>
    <fill>
      <patternFill patternType="solid">
        <fgColor rgb="FFFF0000"/>
        <bgColor rgb="FFD2462E"/>
      </patternFill>
    </fill>
    <fill>
      <patternFill patternType="solid">
        <fgColor rgb="FFECF0F1"/>
        <bgColor rgb="FFF2F2F2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/>
      <top/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 diagonalUp="false" diagonalDown="false"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/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 diagonalUp="false" diagonalDown="false">
      <left style="thick">
        <color rgb="FFFFFFFF"/>
      </left>
      <right/>
      <top/>
      <bottom style="thick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1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2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2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6" fillId="2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2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2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2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2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6EE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C5E0B3"/>
        </patternFill>
      </fill>
    </dxf>
    <dxf>
      <fill>
        <patternFill>
          <bgColor rgb="FFBDD6EE"/>
        </patternFill>
      </fill>
    </dxf>
    <dxf>
      <fill>
        <patternFill>
          <bgColor rgb="FFFFFFFF"/>
        </patternFill>
      </fill>
    </dxf>
    <dxf>
      <fill>
        <patternFill>
          <bgColor rgb="FFFF8F8F"/>
        </patternFill>
      </fill>
    </dxf>
    <dxf>
      <fill>
        <patternFill patternType="solid">
          <fgColor rgb="FFAEABAB"/>
          <bgColor rgb="FF000000"/>
        </patternFill>
      </fill>
    </dxf>
    <dxf>
      <fill>
        <patternFill patternType="solid">
          <fgColor rgb="FFFFE598"/>
          <bgColor rgb="FF000000"/>
        </patternFill>
      </fill>
    </dxf>
    <dxf>
      <fill>
        <patternFill>
          <bgColor rgb="FFFFC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00B0F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B4C6E7"/>
      <rgbColor rgb="FF6C0000"/>
      <rgbColor rgb="FF006100"/>
      <rgbColor rgb="FF000080"/>
      <rgbColor rgb="FF7F6000"/>
      <rgbColor rgb="FF800080"/>
      <rgbColor rgb="FF0070C0"/>
      <rgbColor rgb="FFB7B7B7"/>
      <rgbColor rgb="FF8B8B8B"/>
      <rgbColor rgb="FF8EAADB"/>
      <rgbColor rgb="FFD2462E"/>
      <rgbColor rgb="FFF2F2F2"/>
      <rgbColor rgb="FFECF0F1"/>
      <rgbColor rgb="FF660066"/>
      <rgbColor rgb="FFFF8F8F"/>
      <rgbColor rgb="FF0563C1"/>
      <rgbColor rgb="FFBDD6EE"/>
      <rgbColor rgb="FF000080"/>
      <rgbColor rgb="FFFF00FF"/>
      <rgbColor rgb="FFD8D8D8"/>
      <rgbColor rgb="FFCCCCCC"/>
      <rgbColor rgb="FF800080"/>
      <rgbColor rgb="FF800000"/>
      <rgbColor rgb="FF2E75B5"/>
      <rgbColor rgb="FF0000FF"/>
      <rgbColor rgb="FF00B0F0"/>
      <rgbColor rgb="FFD9D9D9"/>
      <rgbColor rgb="FFC5E0B3"/>
      <rgbColor rgb="FFFFD965"/>
      <rgbColor rgb="FF9CC2E5"/>
      <rgbColor rgb="FFF08F8F"/>
      <rgbColor rgb="FFAEABAB"/>
      <rgbColor rgb="FFFFE598"/>
      <rgbColor rgb="FF4472C4"/>
      <rgbColor rgb="FFA5A5A5"/>
      <rgbColor rgb="FF92D050"/>
      <rgbColor rgb="FFFFC000"/>
      <rgbColor rgb="FFF2B300"/>
      <rgbColor rgb="FFEA6F00"/>
      <rgbColor rgb="FF4285F4"/>
      <rgbColor rgb="FF8496B0"/>
      <rgbColor rgb="FF222A35"/>
      <rgbColor rgb="FF558C3E"/>
      <rgbColor rgb="FF003300"/>
      <rgbColor rgb="FF262626"/>
      <rgbColor rgb="FF833C0B"/>
      <rgbColor rgb="FF993366"/>
      <rgbColor rgb="FF1E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i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i="1" lang="en-US" sz="1600" spc="-1" strike="noStrike">
                <a:solidFill>
                  <a:srgbClr val="000000"/>
                </a:solidFill>
                <a:latin typeface="Calibri"/>
              </a:rPr>
              <a:t>Gráfico radial de análisis de PESTEL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1"/>
        <c:ser>
          <c:idx val="0"/>
          <c:order val="0"/>
          <c:spPr>
            <a:solidFill>
              <a:srgbClr val="4285f4"/>
            </a:solidFill>
            <a:ln cap="rnd" w="19080">
              <a:solidFill>
                <a:srgbClr val="4285f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Pt>
            <c:idx val="1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Pt>
            <c:idx val="2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Pt>
            <c:idx val="3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Pt>
            <c:idx val="4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Pt>
            <c:idx val="5"/>
            <c:spPr>
              <a:solidFill>
                <a:srgbClr val="4285f4"/>
              </a:solidFill>
              <a:ln cap="rnd" w="19080">
                <a:solidFill>
                  <a:srgbClr val="4285f4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Rel_PESTEL!$C$6:$C$11</c:f>
              <c:strCache>
                <c:ptCount val="6"/>
                <c:pt idx="0">
                  <c:v>Políticos</c:v>
                </c:pt>
                <c:pt idx="1">
                  <c:v>Económicos</c:v>
                </c:pt>
                <c:pt idx="2">
                  <c:v>Sociales</c:v>
                </c:pt>
                <c:pt idx="3">
                  <c:v>Tecnológicos</c:v>
                </c:pt>
                <c:pt idx="4">
                  <c:v>Ambientales</c:v>
                </c:pt>
                <c:pt idx="5">
                  <c:v>Legales</c:v>
                </c:pt>
              </c:strCache>
            </c:strRef>
          </c:cat>
          <c:val>
            <c:numRef>
              <c:f>Rel_PESTEL!$E$6:$E$11</c:f>
              <c:numCache>
                <c:formatCode>0</c:formatCode>
                <c:ptCount val="6"/>
                <c:pt idx="0">
                  <c:v>324</c:v>
                </c:pt>
                <c:pt idx="1">
                  <c:v>330</c:v>
                </c:pt>
                <c:pt idx="2">
                  <c:v>425</c:v>
                </c:pt>
                <c:pt idx="3">
                  <c:v>405</c:v>
                </c:pt>
                <c:pt idx="4">
                  <c:v>132</c:v>
                </c:pt>
                <c:pt idx="5">
                  <c:v>339</c:v>
                </c:pt>
              </c:numCache>
            </c:numRef>
          </c:val>
        </c:ser>
        <c:axId val="38184472"/>
        <c:axId val="46340232"/>
      </c:radarChart>
      <c:catAx>
        <c:axId val="3818447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46340232"/>
        <c:crosses val="autoZero"/>
        <c:auto val="1"/>
        <c:lblAlgn val="ctr"/>
        <c:lblOffset val="100"/>
        <c:noMultiLvlLbl val="0"/>
      </c:catAx>
      <c:valAx>
        <c:axId val="463402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minorGridlines>
          <c:spPr>
            <a:ln w="6480">
              <a:solidFill>
                <a:srgbClr val="cccccc"/>
              </a:solidFill>
              <a:round/>
            </a:ln>
          </c:spPr>
        </c:min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381844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28440</xdr:colOff>
      <xdr:row>3</xdr:row>
      <xdr:rowOff>152640</xdr:rowOff>
    </xdr:from>
    <xdr:to>
      <xdr:col>8</xdr:col>
      <xdr:colOff>1935000</xdr:colOff>
      <xdr:row>11</xdr:row>
      <xdr:rowOff>285480</xdr:rowOff>
    </xdr:to>
    <xdr:graphicFrame>
      <xdr:nvGraphicFramePr>
        <xdr:cNvPr id="0" name="Chart 1"/>
        <xdr:cNvGraphicFramePr/>
      </xdr:nvGraphicFramePr>
      <xdr:xfrm>
        <a:off x="8251560" y="638280"/>
        <a:ext cx="6543360" cy="275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C6:I31" headerRowCount="1" totalsRowCount="0" totalsRowShown="0">
  <tableColumns count="7">
    <tableColumn id="1" name="Aspectos a evaluar en Factores Políticos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ables/table2.xml><?xml version="1.0" encoding="utf-8"?>
<table xmlns="http://schemas.openxmlformats.org/spreadsheetml/2006/main" id="2" name="Table_2" displayName="Table_2" ref="C6:I31" headerRowCount="1" totalsRowCount="0" totalsRowShown="0">
  <tableColumns count="7">
    <tableColumn id="1" name="Aspectos a evaluar en Factores Económicos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ables/table3.xml><?xml version="1.0" encoding="utf-8"?>
<table xmlns="http://schemas.openxmlformats.org/spreadsheetml/2006/main" id="3" name="Table_3" displayName="Table_3" ref="C6:I31" headerRowCount="1" totalsRowCount="0" totalsRowShown="0">
  <tableColumns count="7">
    <tableColumn id="1" name="Aspectos a evaluar en Factores Sociales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ables/table4.xml><?xml version="1.0" encoding="utf-8"?>
<table xmlns="http://schemas.openxmlformats.org/spreadsheetml/2006/main" id="4" name="Table_4" displayName="Table_4" ref="C6:I31" headerRowCount="1" totalsRowCount="0" totalsRowShown="0">
  <tableColumns count="7">
    <tableColumn id="1" name="Aspectos a evaluar en Factores Tecnológicos 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ables/table5.xml><?xml version="1.0" encoding="utf-8"?>
<table xmlns="http://schemas.openxmlformats.org/spreadsheetml/2006/main" id="5" name="Table_5" displayName="Table_5" ref="C6:I31" headerRowCount="1" totalsRowCount="0" totalsRowShown="0">
  <tableColumns count="7">
    <tableColumn id="1" name="Aspectos a evaluar Factores Ambientales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ables/table6.xml><?xml version="1.0" encoding="utf-8"?>
<table xmlns="http://schemas.openxmlformats.org/spreadsheetml/2006/main" id="6" name="Table_6" displayName="Table_6" ref="C6:I31" headerRowCount="1" totalsRowCount="0" totalsRowShown="0">
  <tableColumns count="7">
    <tableColumn id="1" name="Aspectos a evaluar Factores Legales"/>
    <tableColumn id="2" name="¿Cómo podrán impactar los aspectos listados en cada uno de los factores de la izquierda en su negocio?"/>
    <tableColumn id="3" name="Importancia"/>
    <tableColumn id="4" name="Marco Temporal"/>
    <tableColumn id="5" name="Intensidad"/>
    <tableColumn id="6" name="Tipo de Tendencia"/>
    <tableColumn id="7" name="Puntuación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arrigues.com/es_ES/guias/guia-para-hacer-negocios-en-colombia" TargetMode="External"/><Relationship Id="rId2" Type="http://schemas.openxmlformats.org/officeDocument/2006/relationships/hyperlink" Target="https://www2.deloitte.com/co/es/pages/tax/articles/doing-bussiness-colombia-2019.html" TargetMode="External"/><Relationship Id="rId3" Type="http://schemas.openxmlformats.org/officeDocument/2006/relationships/hyperlink" Target="https://www.pwc.com/co/en/publications/technology/Doing%20Business%202019%20PwC.pdf" TargetMode="External"/><Relationship Id="rId4" Type="http://schemas.openxmlformats.org/officeDocument/2006/relationships/hyperlink" Target="https://intelligence.weforum.org/topics/a1Gb0000000pTD7EAM?tab=publications" TargetMode="External"/><Relationship Id="rId5" Type="http://schemas.openxmlformats.org/officeDocument/2006/relationships/hyperlink" Target="https://www.colombiaproductiva.com/ptp-capacita/capacitaciones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2" min="1" style="0" width="11.44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88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4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4.2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4.25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30" hidden="false" customHeight="true" outlineLevel="0" collapsed="false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93" hidden="false" customHeight="true" outlineLevel="0" collapsed="false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29.25" hidden="false" customHeight="true" outlineLevel="0" collapsed="false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true" outlineLevel="0" collapsed="false">
      <c r="A13" s="5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5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5" t="s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5" t="s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5" t="s">
        <v>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</sheetData>
  <mergeCells count="7">
    <mergeCell ref="A1:L1"/>
    <mergeCell ref="A3:L3"/>
    <mergeCell ref="A5:L5"/>
    <mergeCell ref="A6:L6"/>
    <mergeCell ref="A7:L7"/>
    <mergeCell ref="A8:L8"/>
    <mergeCell ref="A9:L9"/>
  </mergeCells>
  <hyperlinks>
    <hyperlink ref="A13" r:id="rId1" display="https://www.garrigues.com/es_ES/guias/guia-para-hacer-negocios-en-colombia"/>
    <hyperlink ref="A15" r:id="rId2" display="https://www2.deloitte.com/co/es/pages/tax/articles/doing-bussiness-colombia-2019.html"/>
    <hyperlink ref="A17" r:id="rId3" display="https://www.pwc.com/co/en/publications/technology/Doing%20Business%202019%20PwC.pdf"/>
    <hyperlink ref="A19" r:id="rId4" display="https://intelligence.weforum.org/topics/a1Gb0000000pTD7EAM?tab=publications"/>
    <hyperlink ref="A21" r:id="rId5" display="https://www.colombiaproductiva.com/ptp-capacita/capacitacion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5.56"/>
    <col collapsed="false" customWidth="true" hidden="false" outlineLevel="0" max="4" min="2" style="0" width="11.44"/>
    <col collapsed="false" customWidth="true" hidden="false" outlineLevel="0" max="5" min="5" style="0" width="16.11"/>
    <col collapsed="false" customWidth="true" hidden="false" outlineLevel="0" max="6" min="6" style="0" width="11.44"/>
    <col collapsed="false" customWidth="true" hidden="false" outlineLevel="0" max="11" min="7" style="0" width="10.66"/>
  </cols>
  <sheetData>
    <row r="1" customFormat="false" ht="14.25" hidden="false" customHeight="true" outlineLevel="0" collapsed="false">
      <c r="A1" s="6" t="s">
        <v>12</v>
      </c>
    </row>
    <row r="2" customFormat="false" ht="14.25" hidden="false" customHeight="true" outlineLevel="0" collapsed="false">
      <c r="A2" s="6" t="s">
        <v>13</v>
      </c>
    </row>
    <row r="3" customFormat="false" ht="14.25" hidden="false" customHeight="true" outlineLevel="0" collapsed="false">
      <c r="A3" s="6" t="s">
        <v>14</v>
      </c>
    </row>
    <row r="4" customFormat="false" ht="14.25" hidden="false" customHeight="true" outlineLevel="0" collapsed="false">
      <c r="A4" s="6" t="s">
        <v>15</v>
      </c>
    </row>
    <row r="5" customFormat="false" ht="14.25" hidden="false" customHeight="true" outlineLevel="0" collapsed="false">
      <c r="A5" s="6" t="s">
        <v>16</v>
      </c>
    </row>
    <row r="6" customFormat="false" ht="14.25" hidden="false" customHeight="true" outlineLevel="0" collapsed="false">
      <c r="A6" s="6" t="s">
        <v>17</v>
      </c>
    </row>
    <row r="7" customFormat="false" ht="14.25" hidden="false" customHeight="true" outlineLevel="0" collapsed="false">
      <c r="A7" s="7"/>
    </row>
    <row r="8" customFormat="false" ht="14.25" hidden="false" customHeight="true" outlineLevel="0" collapsed="false">
      <c r="A8" s="7"/>
    </row>
    <row r="9" customFormat="false" ht="14.25" hidden="false" customHeight="true" outlineLevel="0" collapsed="false">
      <c r="A9" s="7"/>
    </row>
    <row r="10" customFormat="false" ht="14.25" hidden="false" customHeight="true" outlineLevel="0" collapsed="false">
      <c r="A10" s="7"/>
    </row>
    <row r="11" customFormat="false" ht="14.25" hidden="false" customHeight="true" outlineLevel="0" collapsed="false">
      <c r="A11" s="7"/>
    </row>
    <row r="12" customFormat="false" ht="14.25" hidden="false" customHeight="true" outlineLevel="0" collapsed="false">
      <c r="A12" s="7"/>
    </row>
    <row r="13" customFormat="false" ht="14.25" hidden="false" customHeight="true" outlineLevel="0" collapsed="false">
      <c r="A13" s="7"/>
    </row>
    <row r="14" customFormat="false" ht="14.25" hidden="false" customHeight="true" outlineLevel="0" collapsed="false">
      <c r="A14" s="7"/>
    </row>
    <row r="15" customFormat="false" ht="14.25" hidden="false" customHeight="true" outlineLevel="0" collapsed="false">
      <c r="A15" s="7"/>
    </row>
    <row r="16" customFormat="false" ht="14.25" hidden="false" customHeight="true" outlineLevel="0" collapsed="false">
      <c r="A16" s="7"/>
    </row>
    <row r="17" customFormat="false" ht="14.25" hidden="false" customHeight="true" outlineLevel="0" collapsed="false">
      <c r="A17" s="7"/>
    </row>
    <row r="18" customFormat="false" ht="14.25" hidden="false" customHeight="true" outlineLevel="0" collapsed="false">
      <c r="A18" s="7"/>
    </row>
    <row r="19" customFormat="false" ht="14.25" hidden="false" customHeight="true" outlineLevel="0" collapsed="false">
      <c r="A19" s="7"/>
    </row>
    <row r="20" customFormat="false" ht="14.25" hidden="false" customHeight="true" outlineLevel="0" collapsed="false">
      <c r="A20" s="7"/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7.25" hidden="tru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D15" activeCellId="0" sqref="D15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7.56"/>
    <col collapsed="false" customWidth="true" hidden="false" outlineLevel="0" max="3" min="3" style="8" width="41.11"/>
    <col collapsed="false" customWidth="true" hidden="false" outlineLevel="0" max="4" min="4" style="8" width="35.67"/>
    <col collapsed="false" customWidth="true" hidden="false" outlineLevel="0" max="7" min="5" style="8" width="15.66"/>
    <col collapsed="false" customWidth="true" hidden="false" outlineLevel="0" max="8" min="8" style="8" width="14.56"/>
    <col collapsed="false" customWidth="true" hidden="false" outlineLevel="0" max="9" min="9" style="8" width="15.66"/>
    <col collapsed="false" customWidth="true" hidden="false" outlineLevel="0" max="10" min="10" style="8" width="16.44"/>
    <col collapsed="false" customWidth="true" hidden="true" outlineLevel="0" max="17" min="11" style="8" width="16.44"/>
    <col collapsed="false" customWidth="false" hidden="false" outlineLevel="0" max="16384" min="18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10" t="s">
        <v>19</v>
      </c>
      <c r="D3" s="10"/>
      <c r="E3" s="10"/>
      <c r="F3" s="10"/>
      <c r="G3" s="10"/>
      <c r="H3" s="10"/>
      <c r="I3" s="10"/>
    </row>
    <row r="4" customFormat="false" ht="14.25" hidden="false" customHeight="true" outlineLevel="0" collapsed="false">
      <c r="C4" s="10"/>
      <c r="D4" s="10"/>
      <c r="E4" s="10"/>
      <c r="F4" s="10"/>
      <c r="G4" s="10"/>
      <c r="H4" s="10"/>
      <c r="I4" s="10"/>
    </row>
    <row r="5" customFormat="false" ht="14.25" hidden="false" customHeight="true" outlineLevel="0" collapsed="false">
      <c r="N5" s="11"/>
    </row>
    <row r="6" customFormat="false" ht="14.25" hidden="false" customHeight="true" outlineLevel="0" collapsed="false">
      <c r="C6" s="12" t="s">
        <v>20</v>
      </c>
      <c r="D6" s="12" t="s">
        <v>21</v>
      </c>
      <c r="E6" s="13" t="s">
        <v>22</v>
      </c>
      <c r="F6" s="14" t="s">
        <v>23</v>
      </c>
      <c r="G6" s="15" t="s">
        <v>24</v>
      </c>
      <c r="H6" s="12" t="s">
        <v>25</v>
      </c>
      <c r="I6" s="12" t="s">
        <v>26</v>
      </c>
      <c r="N6" s="11"/>
    </row>
    <row r="7" customFormat="false" ht="42.75" hidden="false" customHeight="true" outlineLevel="0" collapsed="false">
      <c r="B7" s="16" t="n">
        <f aca="false">I7</f>
        <v>100</v>
      </c>
      <c r="C7" s="17" t="s">
        <v>27</v>
      </c>
      <c r="D7" s="17" t="s">
        <v>28</v>
      </c>
      <c r="E7" s="11" t="s">
        <v>29</v>
      </c>
      <c r="F7" s="18" t="s">
        <v>30</v>
      </c>
      <c r="G7" s="18" t="s">
        <v>31</v>
      </c>
      <c r="H7" s="18" t="s">
        <v>32</v>
      </c>
      <c r="I7" s="19" t="n">
        <f aca="false">IF(ISERROR(VLOOKUP(E7,$K$10:$L$14,2,FALSE())*VLOOKUP(G7,$K$18:$L$22,2,FALSE())*VLOOKUP(H7,$K$26:$L$30,2,FALSE())),"",VLOOKUP(E7,$K$10:$L$14,2,FALSE())*VLOOKUP(G7,$K$18:$L$22,2,FALSE())*VLOOKUP(H7,$K$26:$L$30,2,FALSE()))</f>
        <v>100</v>
      </c>
      <c r="N7" s="11"/>
    </row>
    <row r="8" customFormat="false" ht="42.75" hidden="false" customHeight="true" outlineLevel="0" collapsed="false">
      <c r="B8" s="16" t="n">
        <f aca="false">I8</f>
        <v>80</v>
      </c>
      <c r="C8" s="17" t="s">
        <v>33</v>
      </c>
      <c r="D8" s="17" t="s">
        <v>34</v>
      </c>
      <c r="E8" s="18" t="s">
        <v>29</v>
      </c>
      <c r="F8" s="18" t="s">
        <v>30</v>
      </c>
      <c r="G8" s="18" t="s">
        <v>35</v>
      </c>
      <c r="H8" s="18" t="s">
        <v>32</v>
      </c>
      <c r="I8" s="20" t="n">
        <f aca="false">IF(ISERROR(VLOOKUP(E8,$K$10:$L$14,2,FALSE())*VLOOKUP(G8,$K$18:$L$22,2,FALSE())*VLOOKUP(H8,$K$26:$L$30,2,FALSE())),"",VLOOKUP(E8,$K$10:$L$14,2,FALSE())*VLOOKUP(G8,$K$18:$L$22,2,FALSE())*VLOOKUP(H8,$K$26:$L$30,2,FALSE()))</f>
        <v>80</v>
      </c>
      <c r="K8" s="21" t="s">
        <v>22</v>
      </c>
      <c r="L8" s="21"/>
      <c r="N8" s="22" t="n">
        <v>0.0002</v>
      </c>
      <c r="O8" s="22" t="n">
        <f aca="false">IF(I7="","",I7+N8)</f>
        <v>100.0002</v>
      </c>
      <c r="P8" s="23" t="str">
        <f aca="false">IF(C7=0,"",C7)</f>
        <v>Estabilidad política y social en Colombia</v>
      </c>
      <c r="Q8" s="16" t="n">
        <f aca="false">I7</f>
        <v>100</v>
      </c>
    </row>
    <row r="9" customFormat="false" ht="57" hidden="false" customHeight="true" outlineLevel="0" collapsed="false">
      <c r="B9" s="16" t="n">
        <f aca="false">I9</f>
        <v>64</v>
      </c>
      <c r="C9" s="17" t="s">
        <v>36</v>
      </c>
      <c r="D9" s="17" t="s">
        <v>37</v>
      </c>
      <c r="E9" s="18" t="s">
        <v>38</v>
      </c>
      <c r="F9" s="18" t="s">
        <v>30</v>
      </c>
      <c r="G9" s="18" t="s">
        <v>35</v>
      </c>
      <c r="H9" s="18" t="s">
        <v>32</v>
      </c>
      <c r="I9" s="20" t="n">
        <f aca="false">IF(ISERROR(VLOOKUP(E9,$K$10:$L$14,2,FALSE())*VLOOKUP(G9,$K$18:$L$22,2,FALSE())*VLOOKUP(H9,$K$26:$L$30,2,FALSE())),"",VLOOKUP(E9,$K$10:$L$14,2,FALSE())*VLOOKUP(G9,$K$18:$L$22,2,FALSE())*VLOOKUP(H9,$K$26:$L$30,2,FALSE()))</f>
        <v>64</v>
      </c>
      <c r="K9" s="24"/>
      <c r="L9" s="21"/>
      <c r="N9" s="22" t="n">
        <v>0.00019</v>
      </c>
      <c r="O9" s="22" t="n">
        <f aca="false">IF(I8="","",I8+N9)</f>
        <v>80.00019</v>
      </c>
      <c r="P9" s="23" t="str">
        <f aca="false">IF(C8=0,"",C8)</f>
        <v>Política digital y regulación de plataformas tech</v>
      </c>
      <c r="Q9" s="16" t="n">
        <f aca="false">I8</f>
        <v>80</v>
      </c>
    </row>
    <row r="10" customFormat="false" ht="14.25" hidden="false" customHeight="true" outlineLevel="0" collapsed="false">
      <c r="B10" s="16" t="n">
        <f aca="false">I10</f>
        <v>80</v>
      </c>
      <c r="C10" s="17" t="s">
        <v>39</v>
      </c>
      <c r="D10" s="17" t="s">
        <v>40</v>
      </c>
      <c r="E10" s="18" t="s">
        <v>29</v>
      </c>
      <c r="F10" s="18" t="s">
        <v>41</v>
      </c>
      <c r="G10" s="18" t="s">
        <v>35</v>
      </c>
      <c r="H10" s="18" t="s">
        <v>32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80</v>
      </c>
      <c r="K10" s="21" t="s">
        <v>42</v>
      </c>
      <c r="L10" s="24" t="n">
        <v>1</v>
      </c>
      <c r="N10" s="22" t="n">
        <v>0.00018</v>
      </c>
      <c r="O10" s="22" t="n">
        <f aca="false">IF(I9="","",I9+N10)</f>
        <v>64.00018</v>
      </c>
      <c r="P10" s="23" t="str">
        <f aca="false">IF(C9=0,"",C9)</f>
        <v>Apoyo estatal a emprendimientos digitales y startups</v>
      </c>
      <c r="Q10" s="16" t="n">
        <f aca="false">I9</f>
        <v>64</v>
      </c>
    </row>
    <row r="11" customFormat="false" ht="14.25" hidden="false" customHeight="true" outlineLevel="0" collapsed="false">
      <c r="B11" s="16" t="n">
        <f aca="false">I11</f>
        <v>0</v>
      </c>
      <c r="C11" s="25" t="s">
        <v>43</v>
      </c>
      <c r="D11" s="8" t="s">
        <v>44</v>
      </c>
      <c r="E11" s="18"/>
      <c r="F11" s="18"/>
      <c r="G11" s="18"/>
      <c r="H11" s="18"/>
      <c r="I11" s="20"/>
      <c r="K11" s="21" t="s">
        <v>45</v>
      </c>
      <c r="L11" s="24" t="n">
        <v>2</v>
      </c>
      <c r="N11" s="22" t="n">
        <v>0.00017</v>
      </c>
      <c r="O11" s="22" t="n">
        <f aca="false">IF(I10="","",I10+N11)</f>
        <v>80.00017</v>
      </c>
      <c r="P11" s="23" t="str">
        <f aca="false">IF(C10=0,"",C10)</f>
        <v>Declaratoria de desastre nacional y capacidad de respuesta institucional</v>
      </c>
      <c r="Q11" s="16" t="n">
        <f aca="false">I10</f>
        <v>80</v>
      </c>
    </row>
    <row r="12" customFormat="false" ht="14.25" hidden="false" customHeight="true" outlineLevel="0" collapsed="false">
      <c r="B12" s="16" t="n">
        <f aca="false">I12</f>
        <v>0</v>
      </c>
      <c r="C12" s="25" t="s">
        <v>46</v>
      </c>
      <c r="D12" s="8" t="s">
        <v>47</v>
      </c>
      <c r="E12" s="18"/>
      <c r="F12" s="18"/>
      <c r="G12" s="18"/>
      <c r="H12" s="18"/>
      <c r="I12" s="20"/>
      <c r="K12" s="21" t="s">
        <v>48</v>
      </c>
      <c r="L12" s="24" t="n">
        <v>3</v>
      </c>
      <c r="N12" s="22" t="n">
        <v>0.00016</v>
      </c>
      <c r="O12" s="22" t="str">
        <f aca="false">IF(I11="","",I11+N12)</f>
        <v/>
      </c>
      <c r="P12" s="23" t="str">
        <f aca="false">IF(C11=0,"",C11)</f>
        <v>P1</v>
      </c>
      <c r="Q12" s="16" t="n">
        <f aca="false">I11</f>
        <v>0</v>
      </c>
    </row>
    <row r="13" customFormat="false" ht="14.25" hidden="false" customHeight="true" outlineLevel="0" collapsed="false">
      <c r="B13" s="16" t="n">
        <f aca="false">I13</f>
        <v>0</v>
      </c>
      <c r="C13" s="25" t="s">
        <v>49</v>
      </c>
      <c r="D13" s="8" t="s">
        <v>50</v>
      </c>
      <c r="E13" s="18"/>
      <c r="F13" s="18"/>
      <c r="G13" s="18"/>
      <c r="H13" s="18"/>
      <c r="I13" s="20"/>
      <c r="K13" s="21" t="s">
        <v>38</v>
      </c>
      <c r="L13" s="24" t="n">
        <v>4</v>
      </c>
      <c r="N13" s="22" t="n">
        <v>0.00015</v>
      </c>
      <c r="O13" s="22" t="str">
        <f aca="false">IF(I12="","",I12+N13)</f>
        <v/>
      </c>
      <c r="P13" s="23" t="str">
        <f aca="false">IF(C12=0,"",C12)</f>
        <v>P2</v>
      </c>
      <c r="Q13" s="16" t="n">
        <f aca="false">I12</f>
        <v>0</v>
      </c>
    </row>
    <row r="14" customFormat="false" ht="14.25" hidden="false" customHeight="true" outlineLevel="0" collapsed="false">
      <c r="B14" s="16" t="n">
        <f aca="false">I14</f>
        <v>0</v>
      </c>
      <c r="C14" s="17"/>
      <c r="E14" s="18"/>
      <c r="F14" s="18"/>
      <c r="G14" s="18"/>
      <c r="H14" s="18"/>
      <c r="I14" s="20"/>
      <c r="K14" s="21" t="s">
        <v>29</v>
      </c>
      <c r="L14" s="24" t="n">
        <v>5</v>
      </c>
      <c r="N14" s="22" t="n">
        <v>0.00014</v>
      </c>
      <c r="O14" s="22" t="str">
        <f aca="false">IF(I13="","",I13+N14)</f>
        <v/>
      </c>
      <c r="P14" s="23" t="str">
        <f aca="false">IF(C13=0,"",C13)</f>
        <v>P3</v>
      </c>
      <c r="Q14" s="16" t="n">
        <f aca="false">I13</f>
        <v>0</v>
      </c>
    </row>
    <row r="15" customFormat="false" ht="14.25" hidden="false" customHeight="true" outlineLevel="0" collapsed="false">
      <c r="B15" s="16" t="n">
        <f aca="false">I15</f>
        <v>0</v>
      </c>
      <c r="C15" s="17"/>
      <c r="E15" s="18"/>
      <c r="F15" s="18"/>
      <c r="G15" s="18"/>
      <c r="H15" s="18"/>
      <c r="I15" s="20"/>
      <c r="K15" s="21"/>
      <c r="L15" s="21"/>
      <c r="N15" s="22" t="n">
        <v>0.00013</v>
      </c>
      <c r="O15" s="22" t="str">
        <f aca="false">IF(I14="","",I14+N15)</f>
        <v/>
      </c>
      <c r="P15" s="23" t="str">
        <f aca="false">IF(C14=0,"",C14)</f>
        <v/>
      </c>
      <c r="Q15" s="16" t="n">
        <f aca="false">I14</f>
        <v>0</v>
      </c>
    </row>
    <row r="16" customFormat="false" ht="14.25" hidden="false" customHeight="true" outlineLevel="0" collapsed="false">
      <c r="B16" s="16" t="n">
        <f aca="false">I16</f>
        <v>0</v>
      </c>
      <c r="C16" s="17"/>
      <c r="E16" s="18"/>
      <c r="F16" s="18"/>
      <c r="G16" s="18"/>
      <c r="H16" s="18"/>
      <c r="I16" s="20"/>
      <c r="K16" s="21" t="s">
        <v>24</v>
      </c>
      <c r="L16" s="21"/>
      <c r="N16" s="22" t="n">
        <v>0.00012</v>
      </c>
      <c r="O16" s="22" t="str">
        <f aca="false">IF(I15="","",I15+N16)</f>
        <v/>
      </c>
      <c r="P16" s="23" t="str">
        <f aca="false">IF(C15=0,"",C15)</f>
        <v/>
      </c>
      <c r="Q16" s="16" t="n">
        <f aca="false">I15</f>
        <v>0</v>
      </c>
    </row>
    <row r="17" customFormat="false" ht="14.25" hidden="false" customHeight="true" outlineLevel="0" collapsed="false">
      <c r="B17" s="16" t="str">
        <f aca="false">I17</f>
        <v/>
      </c>
      <c r="C17" s="11"/>
      <c r="D17" s="11"/>
      <c r="E17" s="18"/>
      <c r="F17" s="18"/>
      <c r="G17" s="18"/>
      <c r="H17" s="18"/>
      <c r="I17" s="20" t="str">
        <f aca="false">IF(ISERROR(VLOOKUP(E17,$K$10:$L$14,2,FALSE())*VLOOKUP(G17,$K$18:$L$22,2,FALSE())*VLOOKUP(H17,$K$26:$L$30,2,FALSE())),"",VLOOKUP(E17,$K$10:$L$14,2,FALSE())*VLOOKUP(G17,$K$18:$L$22,2,FALSE())*VLOOKUP(H17,$K$26:$L$30,2,FALSE()))</f>
        <v/>
      </c>
      <c r="K17" s="24"/>
      <c r="L17" s="21"/>
      <c r="N17" s="22" t="n">
        <v>0.00011</v>
      </c>
      <c r="O17" s="22" t="str">
        <f aca="false">IF(I16="","",I16+N17)</f>
        <v/>
      </c>
      <c r="P17" s="23" t="str">
        <f aca="false">IF(C16=0,"",C16)</f>
        <v/>
      </c>
      <c r="Q17" s="16" t="n">
        <f aca="false">I16</f>
        <v>0</v>
      </c>
    </row>
    <row r="18" customFormat="false" ht="14.25" hidden="false" customHeight="true" outlineLevel="0" collapsed="false">
      <c r="B18" s="16" t="str">
        <f aca="false">I18</f>
        <v/>
      </c>
      <c r="C18" s="11"/>
      <c r="D18" s="11"/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21" t="s">
        <v>51</v>
      </c>
      <c r="L18" s="24" t="n">
        <v>5</v>
      </c>
      <c r="N18" s="22" t="n">
        <v>0.0001</v>
      </c>
      <c r="O18" s="23" t="str">
        <f aca="false">IF(I17="","",I17+N18)</f>
        <v/>
      </c>
      <c r="P18" s="23" t="str">
        <f aca="false">IF(C17=0,"",C17)</f>
        <v/>
      </c>
      <c r="Q18" s="16" t="str">
        <f aca="false">I17</f>
        <v/>
      </c>
    </row>
    <row r="19" customFormat="false" ht="14.25" hidden="false" customHeight="true" outlineLevel="0" collapsed="false">
      <c r="B19" s="16" t="str">
        <f aca="false">I19</f>
        <v/>
      </c>
      <c r="C19" s="11"/>
      <c r="D19" s="11"/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21" t="s">
        <v>35</v>
      </c>
      <c r="L19" s="24" t="n">
        <v>4</v>
      </c>
      <c r="N19" s="22" t="n">
        <v>9E-005</v>
      </c>
      <c r="O19" s="23" t="str">
        <f aca="false">IF(I18="","",I18+N19)</f>
        <v/>
      </c>
      <c r="P19" s="23" t="str">
        <f aca="false">IF(C18=0,"",C18)</f>
        <v/>
      </c>
      <c r="Q19" s="16" t="str">
        <f aca="false">I18</f>
        <v/>
      </c>
    </row>
    <row r="20" customFormat="false" ht="14.25" hidden="false" customHeight="true" outlineLevel="0" collapsed="false">
      <c r="B20" s="16" t="str">
        <f aca="false">I20</f>
        <v/>
      </c>
      <c r="C20" s="11"/>
      <c r="D20" s="11"/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21" t="s">
        <v>52</v>
      </c>
      <c r="L20" s="24" t="n">
        <v>3</v>
      </c>
      <c r="N20" s="22" t="n">
        <v>8E-005</v>
      </c>
      <c r="O20" s="23" t="str">
        <f aca="false">IF(I19="","",I19+N20)</f>
        <v/>
      </c>
      <c r="P20" s="23" t="str">
        <f aca="false">IF(C19=0,"",C19)</f>
        <v/>
      </c>
      <c r="Q20" s="16" t="str">
        <f aca="false">I19</f>
        <v/>
      </c>
    </row>
    <row r="21" customFormat="false" ht="14.25" hidden="false" customHeight="true" outlineLevel="0" collapsed="false">
      <c r="B21" s="16" t="str">
        <f aca="false">I21</f>
        <v/>
      </c>
      <c r="C21" s="11"/>
      <c r="D21" s="11"/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21" t="s">
        <v>53</v>
      </c>
      <c r="L21" s="24" t="n">
        <v>2</v>
      </c>
      <c r="N21" s="22" t="n">
        <v>7E-005</v>
      </c>
      <c r="O21" s="23" t="str">
        <f aca="false">IF(I20="","",I20+N21)</f>
        <v/>
      </c>
      <c r="P21" s="23" t="str">
        <f aca="false">IF(C20=0,"",C20)</f>
        <v/>
      </c>
      <c r="Q21" s="16" t="str">
        <f aca="false">I20</f>
        <v/>
      </c>
    </row>
    <row r="22" customFormat="false" ht="14.25" hidden="false" customHeight="true" outlineLevel="0" collapsed="false">
      <c r="B22" s="16" t="str">
        <f aca="false">I22</f>
        <v/>
      </c>
      <c r="C22" s="11"/>
      <c r="D22" s="11"/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21" t="s">
        <v>54</v>
      </c>
      <c r="L22" s="24" t="n">
        <v>1</v>
      </c>
      <c r="N22" s="22" t="n">
        <v>6E-005</v>
      </c>
      <c r="O22" s="23" t="str">
        <f aca="false">IF(I21="","",I21+N22)</f>
        <v/>
      </c>
      <c r="P22" s="23" t="str">
        <f aca="false">IF(C21=0,"",C21)</f>
        <v/>
      </c>
      <c r="Q22" s="16" t="str">
        <f aca="false">I21</f>
        <v/>
      </c>
    </row>
    <row r="23" customFormat="false" ht="14.25" hidden="false" customHeight="true" outlineLevel="0" collapsed="false">
      <c r="B23" s="16" t="str">
        <f aca="false">I23</f>
        <v/>
      </c>
      <c r="C23" s="11"/>
      <c r="D23" s="11"/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21"/>
      <c r="L23" s="21"/>
      <c r="N23" s="22" t="n">
        <v>5E-005</v>
      </c>
      <c r="O23" s="23" t="str">
        <f aca="false">IF(I22="","",I22+N23)</f>
        <v/>
      </c>
      <c r="P23" s="23" t="str">
        <f aca="false">IF(C22=0,"",C22)</f>
        <v/>
      </c>
      <c r="Q23" s="16" t="str">
        <f aca="false">I22</f>
        <v/>
      </c>
    </row>
    <row r="24" customFormat="false" ht="14.25" hidden="false" customHeight="true" outlineLevel="0" collapsed="false">
      <c r="B24" s="16" t="str">
        <f aca="false">I24</f>
        <v/>
      </c>
      <c r="C24" s="11"/>
      <c r="D24" s="11"/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21" t="s">
        <v>55</v>
      </c>
      <c r="L24" s="21"/>
      <c r="N24" s="22" t="n">
        <v>4E-005</v>
      </c>
      <c r="O24" s="23" t="str">
        <f aca="false">IF(I23="","",I23+N24)</f>
        <v/>
      </c>
      <c r="P24" s="23" t="str">
        <f aca="false">IF(C23=0,"",C23)</f>
        <v/>
      </c>
      <c r="Q24" s="16" t="str">
        <f aca="false">I23</f>
        <v/>
      </c>
    </row>
    <row r="25" customFormat="false" ht="14.25" hidden="false" customHeight="true" outlineLevel="0" collapsed="false">
      <c r="B25" s="16" t="str">
        <f aca="false">I25</f>
        <v/>
      </c>
      <c r="C25" s="11"/>
      <c r="D25" s="11"/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24"/>
      <c r="L25" s="21"/>
      <c r="N25" s="22" t="n">
        <v>3E-005</v>
      </c>
      <c r="O25" s="23"/>
      <c r="P25" s="23"/>
      <c r="Q25" s="16"/>
    </row>
    <row r="26" customFormat="false" ht="14.25" hidden="false" customHeight="true" outlineLevel="0" collapsed="false">
      <c r="B26" s="16" t="str">
        <f aca="false">I26</f>
        <v/>
      </c>
      <c r="C26" s="11"/>
      <c r="D26" s="11"/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21" t="s">
        <v>56</v>
      </c>
      <c r="L26" s="24" t="n">
        <v>5</v>
      </c>
      <c r="N26" s="22" t="n">
        <v>2E-005</v>
      </c>
      <c r="O26" s="23" t="str">
        <f aca="false">IF(I24="","",I24+N26)</f>
        <v/>
      </c>
      <c r="P26" s="23" t="str">
        <f aca="false">IF(C24=0,"",C24)</f>
        <v/>
      </c>
      <c r="Q26" s="16" t="str">
        <f aca="false">I24</f>
        <v/>
      </c>
    </row>
    <row r="27" customFormat="false" ht="14.25" hidden="false" customHeight="true" outlineLevel="0" collapsed="false">
      <c r="B27" s="16" t="str">
        <f aca="false">I27</f>
        <v/>
      </c>
      <c r="C27" s="11"/>
      <c r="D27" s="11"/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21" t="s">
        <v>32</v>
      </c>
      <c r="L27" s="24" t="n">
        <v>4</v>
      </c>
      <c r="N27" s="22" t="n">
        <v>1E-005</v>
      </c>
      <c r="O27" s="23" t="str">
        <f aca="false">IF(I25="","",I25+N27)</f>
        <v/>
      </c>
      <c r="P27" s="23" t="str">
        <f aca="false">IF(C25=0,"",C25)</f>
        <v/>
      </c>
      <c r="Q27" s="16" t="str">
        <f aca="false">I25</f>
        <v/>
      </c>
    </row>
    <row r="28" customFormat="false" ht="14.25" hidden="false" customHeight="true" outlineLevel="0" collapsed="false">
      <c r="B28" s="16" t="str">
        <f aca="false">I28</f>
        <v/>
      </c>
      <c r="C28" s="11"/>
      <c r="D28" s="11"/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21" t="s">
        <v>48</v>
      </c>
      <c r="L28" s="24" t="n">
        <v>3</v>
      </c>
      <c r="N28" s="23"/>
      <c r="O28" s="23" t="str">
        <f aca="false">IF(I26="","",I26+N28)</f>
        <v/>
      </c>
      <c r="P28" s="23" t="str">
        <f aca="false">IF(C26=0,"",C26)</f>
        <v/>
      </c>
      <c r="Q28" s="16" t="str">
        <f aca="false">I26</f>
        <v/>
      </c>
    </row>
    <row r="29" customFormat="false" ht="14.25" hidden="false" customHeight="true" outlineLevel="0" collapsed="false">
      <c r="B29" s="16" t="str">
        <f aca="false">I29</f>
        <v/>
      </c>
      <c r="C29" s="11"/>
      <c r="D29" s="11"/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21" t="s">
        <v>57</v>
      </c>
      <c r="L29" s="24" t="n">
        <v>2</v>
      </c>
      <c r="N29" s="23"/>
      <c r="O29" s="23" t="str">
        <f aca="false">IF(I27="","",I27+N29)</f>
        <v/>
      </c>
      <c r="P29" s="23" t="str">
        <f aca="false">IF(C27=0,"",C27)</f>
        <v/>
      </c>
      <c r="Q29" s="16" t="str">
        <f aca="false">I27</f>
        <v/>
      </c>
    </row>
    <row r="30" customFormat="false" ht="14.25" hidden="false" customHeight="true" outlineLevel="0" collapsed="false">
      <c r="B30" s="16" t="str">
        <f aca="false">I30</f>
        <v/>
      </c>
      <c r="C30" s="11"/>
      <c r="D30" s="11"/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21" t="s">
        <v>58</v>
      </c>
      <c r="L30" s="24" t="n">
        <v>1</v>
      </c>
      <c r="N30" s="23"/>
      <c r="O30" s="23" t="str">
        <f aca="false">IF(I28="","",I28+N30)</f>
        <v/>
      </c>
      <c r="P30" s="23" t="str">
        <f aca="false">IF(C28=0,"",C28)</f>
        <v/>
      </c>
      <c r="Q30" s="16" t="str">
        <f aca="false">I28</f>
        <v/>
      </c>
    </row>
    <row r="31" customFormat="false" ht="14.25" hidden="false" customHeight="true" outlineLevel="0" collapsed="false">
      <c r="C31" s="8" t="s">
        <v>59</v>
      </c>
      <c r="I31" s="8" t="n">
        <f aca="false">SUM(I7:I30)</f>
        <v>324</v>
      </c>
      <c r="N31" s="26"/>
      <c r="O31" s="26" t="e">
        <f aca="false">IF(#REF!="","",#REF!+N31)</f>
        <v>#REF!</v>
      </c>
      <c r="P31" s="27" t="e">
        <f aca="false">IF(#REF!=0,"",#REF!)</f>
        <v>#REF!</v>
      </c>
      <c r="Q31" s="28" t="e">
        <f aca="false">#REF!</f>
        <v>#REF!</v>
      </c>
    </row>
    <row r="32" customFormat="false" ht="14.25" hidden="false" customHeight="true" outlineLevel="0" collapsed="false">
      <c r="I32" s="8" t="str">
        <f aca="false">IF(ISERROR(VLOOKUP(E32,$K$10:$L$14,2,FALSE())*VLOOKUP(G32,$K$18:$L$22,2,FALSE())*VLOOKUP(H32,$K$26:$L$30,2,FALSE())),"",VLOOKUP(E32,$K$10:$L$14,2,FALSE())*VLOOKUP(G32,$K$18:$L$22,2,FALSE())*VLOOKUP(H32,$K$26:$L$30,2,FALSE()))</f>
        <v/>
      </c>
      <c r="K32" s="21" t="s">
        <v>60</v>
      </c>
      <c r="N32" s="29"/>
      <c r="O32" s="30" t="n">
        <f aca="false">IF(I31="","",I31+N32)</f>
        <v>324</v>
      </c>
      <c r="P32" s="30" t="str">
        <f aca="false">IF(C31=0,"",C31)</f>
        <v>La puntuación global de los factores políticos</v>
      </c>
      <c r="Q32" s="31" t="n">
        <f aca="false">I31</f>
        <v>324</v>
      </c>
    </row>
    <row r="33" customFormat="false" ht="14.25" hidden="false" customHeight="true" outlineLevel="0" collapsed="false">
      <c r="C33" s="32" t="s">
        <v>61</v>
      </c>
      <c r="D33" s="32"/>
      <c r="E33" s="32"/>
      <c r="F33" s="32"/>
      <c r="G33" s="32"/>
      <c r="H33" s="32"/>
      <c r="I33" s="32"/>
    </row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C1:I2"/>
    <mergeCell ref="C3:I4"/>
    <mergeCell ref="C33:I33"/>
  </mergeCells>
  <conditionalFormatting sqref="E7:F30">
    <cfRule type="containsText" priority="2" operator="containsText" aboveAverage="0" equalAverage="0" bottom="0" percent="0" rank="0" text="Poco importante" dxfId="4">
      <formula>NOT(ISERROR(SEARCH("Poco importante",E7)))</formula>
    </cfRule>
    <cfRule type="containsText" priority="3" operator="containsText" aboveAverage="0" equalAverage="0" bottom="0" percent="0" rank="0" text="Muy importante" dxfId="5">
      <formula>NOT(ISERROR(SEARCH("Muy importante",E7)))</formula>
    </cfRule>
    <cfRule type="containsText" priority="4" operator="containsText" aboveAverage="0" equalAverage="0" bottom="0" percent="0" rank="0" text="Importante" dxfId="6">
      <formula>NOT(ISERROR(SEARCH("Importante",E7)))</formula>
    </cfRule>
    <cfRule type="containsText" priority="5" operator="containsText" aboveAverage="0" equalAverage="0" bottom="0" percent="0" rank="0" text="Indiferente" dxfId="7">
      <formula>NOT(ISERROR(SEARCH("Indiferente",E7)))</formula>
    </cfRule>
    <cfRule type="containsText" priority="6" operator="containsText" aboveAverage="0" equalAverage="0" bottom="0" percent="0" rank="0" text="Sin importancia" dxfId="8">
      <formula>NOT(ISERROR(SEARCH("Sin importancia",E7)))</formula>
    </cfRule>
  </conditionalFormatting>
  <conditionalFormatting sqref="G7:G30">
    <cfRule type="containsText" priority="7" operator="containsText" aboveAverage="0" equalAverage="0" bottom="0" percent="0" rank="0" text="Muy Fuerte" dxfId="5">
      <formula>NOT(ISERROR(SEARCH("Muy Fuerte",G7)))</formula>
    </cfRule>
    <cfRule type="containsText" priority="8" operator="containsText" aboveAverage="0" equalAverage="0" bottom="0" percent="0" rank="0" text="Muy Débil" dxfId="8">
      <formula>NOT(ISERROR(SEARCH("Muy Débil",G7)))</formula>
    </cfRule>
    <cfRule type="containsText" priority="9" operator="containsText" aboveAverage="0" equalAverage="0" bottom="0" percent="0" rank="0" text="Débil" dxfId="4">
      <formula>NOT(ISERROR(SEARCH("Débil",G7)))</formula>
    </cfRule>
    <cfRule type="containsText" priority="10" operator="containsText" aboveAverage="0" equalAverage="0" bottom="0" percent="0" rank="0" text="Promedio" dxfId="7">
      <formula>NOT(ISERROR(SEARCH("Promedio",G7)))</formula>
    </cfRule>
    <cfRule type="containsText" priority="11" operator="containsText" aboveAverage="0" equalAverage="0" bottom="0" percent="0" rank="0" text="Fuerte" dxfId="6">
      <formula>NOT(ISERROR(SEARCH("Fuerte",G7)))</formula>
    </cfRule>
    <cfRule type="containsText" priority="12" operator="containsText" aboveAverage="0" equalAverage="0" bottom="0" percent="0" rank="0" text="Muy fuerte" dxfId="5">
      <formula>NOT(ISERROR(SEARCH("Muy fuerte",G7)))</formula>
    </cfRule>
  </conditionalFormatting>
  <conditionalFormatting sqref="H7:H30">
    <cfRule type="containsText" priority="13" operator="containsText" aboveAverage="0" equalAverage="0" bottom="0" percent="0" rank="0" text="Mejora Mucho" dxfId="5">
      <formula>NOT(ISERROR(SEARCH("Mejora Mucho",H7)))</formula>
    </cfRule>
    <cfRule type="containsText" priority="14" operator="containsText" aboveAverage="0" equalAverage="0" bottom="0" percent="0" rank="0" text="Mucho Peor" dxfId="8">
      <formula>NOT(ISERROR(SEARCH("Mucho Peor",H7)))</formula>
    </cfRule>
    <cfRule type="containsText" priority="15" operator="containsText" aboveAverage="0" equalAverage="0" bottom="0" percent="0" rank="0" text="Peor" dxfId="4">
      <formula>NOT(ISERROR(SEARCH("Peor",H7)))</formula>
    </cfRule>
    <cfRule type="containsText" priority="16" operator="containsText" aboveAverage="0" equalAverage="0" bottom="0" percent="0" rank="0" text="Indiferente" dxfId="7">
      <formula>NOT(ISERROR(SEARCH("Indiferente",H7)))</formula>
    </cfRule>
    <cfRule type="containsText" priority="17" operator="containsText" aboveAverage="0" equalAverage="0" bottom="0" percent="0" rank="0" text="Mejora" dxfId="6">
      <formula>NOT(ISERROR(SEARCH("Mejora",H7)))</formula>
    </cfRule>
  </conditionalFormatting>
  <dataValidations count="4">
    <dataValidation allowBlank="true" errorStyle="stop" operator="between" showDropDown="false" showErrorMessage="true" showInputMessage="false" sqref="E7:E30" type="list">
      <formula1>$K$10:$K$14</formula1>
      <formula2>0</formula2>
    </dataValidation>
    <dataValidation allowBlank="true" errorStyle="stop" operator="between" showDropDown="false" showErrorMessage="true" showInputMessage="false" sqref="F7:F30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S7" activeCellId="0" sqref="S7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8.34"/>
    <col collapsed="false" customWidth="true" hidden="false" outlineLevel="0" max="4" min="3" style="8" width="35.67"/>
    <col collapsed="false" customWidth="true" hidden="false" outlineLevel="0" max="9" min="5" style="8" width="15.66"/>
    <col collapsed="false" customWidth="true" hidden="false" outlineLevel="0" max="10" min="10" style="8" width="19.33"/>
    <col collapsed="false" customWidth="true" hidden="true" outlineLevel="0" max="17" min="11" style="8" width="19.33"/>
    <col collapsed="false" customWidth="true" hidden="false" outlineLevel="0" max="20" min="18" style="8" width="19.33"/>
    <col collapsed="false" customWidth="false" hidden="false" outlineLevel="0" max="16384" min="21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33" t="s">
        <v>62</v>
      </c>
      <c r="D3" s="33"/>
      <c r="E3" s="33"/>
      <c r="F3" s="33"/>
      <c r="G3" s="33"/>
      <c r="H3" s="33"/>
      <c r="I3" s="33"/>
    </row>
    <row r="4" customFormat="false" ht="14.25" hidden="false" customHeight="true" outlineLevel="0" collapsed="false">
      <c r="C4" s="33"/>
      <c r="D4" s="33"/>
      <c r="E4" s="33"/>
      <c r="F4" s="33"/>
      <c r="G4" s="33"/>
      <c r="H4" s="33"/>
      <c r="I4" s="33"/>
    </row>
    <row r="5" customFormat="false" ht="14.25" hidden="false" customHeight="true" outlineLevel="0" collapsed="false"/>
    <row r="6" customFormat="false" ht="14.25" hidden="false" customHeight="true" outlineLevel="0" collapsed="false">
      <c r="C6" s="34" t="s">
        <v>63</v>
      </c>
      <c r="D6" s="35" t="s">
        <v>21</v>
      </c>
      <c r="E6" s="34" t="s">
        <v>22</v>
      </c>
      <c r="F6" s="35" t="s">
        <v>23</v>
      </c>
      <c r="G6" s="34" t="s">
        <v>24</v>
      </c>
      <c r="H6" s="35" t="s">
        <v>64</v>
      </c>
      <c r="I6" s="34" t="s">
        <v>26</v>
      </c>
    </row>
    <row r="7" customFormat="false" ht="72" hidden="false" customHeight="true" outlineLevel="0" collapsed="false">
      <c r="B7" s="16" t="n">
        <f aca="false">I7</f>
        <v>40</v>
      </c>
      <c r="C7" s="17" t="s">
        <v>65</v>
      </c>
      <c r="D7" s="17" t="s">
        <v>66</v>
      </c>
      <c r="E7" s="36" t="s">
        <v>29</v>
      </c>
      <c r="F7" s="36" t="s">
        <v>30</v>
      </c>
      <c r="G7" s="36" t="s">
        <v>53</v>
      </c>
      <c r="H7" s="36" t="s">
        <v>32</v>
      </c>
      <c r="I7" s="37" t="n">
        <f aca="false">IF(ISERROR(VLOOKUP(E7,$K$10:$L$14,2,FALSE())*VLOOKUP(G7,$K$18:$L$22,2,FALSE())*VLOOKUP(H7,$K$26:$L$30,2,FALSE())),"",VLOOKUP(E7,$K$10:$L$14,2,FALSE())*VLOOKUP(G7,$K$18:$L$22,2,FALSE())*VLOOKUP(H7,$K$26:$L$30,2,FALSE()))</f>
        <v>40</v>
      </c>
    </row>
    <row r="8" customFormat="false" ht="57" hidden="false" customHeight="true" outlineLevel="0" collapsed="false">
      <c r="B8" s="16" t="n">
        <f aca="false">I8</f>
        <v>125</v>
      </c>
      <c r="C8" s="17" t="s">
        <v>67</v>
      </c>
      <c r="D8" s="17" t="s">
        <v>68</v>
      </c>
      <c r="E8" s="36" t="s">
        <v>29</v>
      </c>
      <c r="F8" s="36" t="s">
        <v>30</v>
      </c>
      <c r="G8" s="36" t="s">
        <v>31</v>
      </c>
      <c r="H8" s="36" t="s">
        <v>69</v>
      </c>
      <c r="I8" s="38" t="n">
        <f aca="false">IF(ISERROR(VLOOKUP(E8,$K$10:$L$14,2,FALSE())*VLOOKUP(G8,$K$18:$L$22,2,FALSE())*VLOOKUP(H8,$K$26:$L$30,2,FALSE())),"",VLOOKUP(E8,$K$10:$L$14,2,FALSE())*VLOOKUP(G8,$K$18:$L$22,2,FALSE())*VLOOKUP(H8,$K$26:$L$30,2,FALSE()))</f>
        <v>125</v>
      </c>
      <c r="K8" s="21" t="s">
        <v>22</v>
      </c>
      <c r="L8" s="21"/>
      <c r="N8" s="22" t="n">
        <v>0.0002</v>
      </c>
      <c r="O8" s="22" t="n">
        <f aca="false">IF(I7="","",I7+N8)</f>
        <v>40.0002</v>
      </c>
      <c r="P8" s="23" t="str">
        <f aca="false">IF(C7=0,"",C7)</f>
        <v>Poder adquisitivo de jóvenes y profesionales</v>
      </c>
      <c r="Q8" s="16" t="n">
        <f aca="false">I7</f>
        <v>40</v>
      </c>
    </row>
    <row r="9" customFormat="false" ht="57" hidden="false" customHeight="true" outlineLevel="0" collapsed="false">
      <c r="B9" s="16" t="n">
        <f aca="false">I9</f>
        <v>40</v>
      </c>
      <c r="C9" s="17" t="s">
        <v>70</v>
      </c>
      <c r="D9" s="17" t="s">
        <v>71</v>
      </c>
      <c r="E9" s="36" t="s">
        <v>38</v>
      </c>
      <c r="F9" s="36" t="s">
        <v>30</v>
      </c>
      <c r="G9" s="36" t="s">
        <v>31</v>
      </c>
      <c r="H9" s="36" t="s">
        <v>57</v>
      </c>
      <c r="I9" s="38" t="n">
        <f aca="false">IF(ISERROR(VLOOKUP(E9,$K$10:$L$14,2,FALSE())*VLOOKUP(G9,$K$18:$L$22,2,FALSE())*VLOOKUP(H9,$K$26:$L$30,2,FALSE())),"",VLOOKUP(E9,$K$10:$L$14,2,FALSE())*VLOOKUP(G9,$K$18:$L$22,2,FALSE())*VLOOKUP(H9,$K$26:$L$30,2,FALSE()))</f>
        <v>40</v>
      </c>
      <c r="K9" s="24"/>
      <c r="L9" s="21"/>
      <c r="N9" s="22" t="n">
        <v>0.00019</v>
      </c>
      <c r="O9" s="22" t="n">
        <f aca="false">IF(I8="","",I8+N9)</f>
        <v>125.00019</v>
      </c>
      <c r="P9" s="23" t="str">
        <f aca="false">IF(C8=0,"",C8)</f>
        <v>Crecimiento del sector de entretenimiento y ocio</v>
      </c>
      <c r="Q9" s="16" t="n">
        <f aca="false">I8</f>
        <v>125</v>
      </c>
    </row>
    <row r="10" customFormat="false" ht="14.25" hidden="false" customHeight="true" outlineLevel="0" collapsed="false">
      <c r="B10" s="16" t="n">
        <f aca="false">I10</f>
        <v>125</v>
      </c>
      <c r="C10" s="17" t="s">
        <v>72</v>
      </c>
      <c r="D10" s="17" t="s">
        <v>73</v>
      </c>
      <c r="E10" s="18" t="s">
        <v>29</v>
      </c>
      <c r="F10" s="18" t="s">
        <v>30</v>
      </c>
      <c r="G10" s="18" t="s">
        <v>31</v>
      </c>
      <c r="H10" s="18" t="s">
        <v>69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125</v>
      </c>
      <c r="K10" s="21" t="s">
        <v>42</v>
      </c>
      <c r="L10" s="24" t="n">
        <v>1</v>
      </c>
      <c r="N10" s="22" t="n">
        <v>0.00018</v>
      </c>
      <c r="O10" s="22" t="n">
        <f aca="false">IF(I9="","",I9+N10)</f>
        <v>40.00018</v>
      </c>
      <c r="P10" s="23" t="str">
        <f aca="false">IF(C9=0,"",C9)</f>
        <v>Inflación y variación en costos operacionales</v>
      </c>
      <c r="Q10" s="16" t="n">
        <f aca="false">I9</f>
        <v>40</v>
      </c>
    </row>
    <row r="11" customFormat="false" ht="14.25" hidden="false" customHeight="true" outlineLevel="0" collapsed="false">
      <c r="B11" s="16" t="n">
        <f aca="false">I11</f>
        <v>0</v>
      </c>
      <c r="C11" s="39" t="s">
        <v>74</v>
      </c>
      <c r="D11" s="17" t="s">
        <v>75</v>
      </c>
      <c r="E11" s="18"/>
      <c r="F11" s="18"/>
      <c r="G11" s="18"/>
      <c r="H11" s="18"/>
      <c r="I11" s="20"/>
      <c r="K11" s="21" t="s">
        <v>45</v>
      </c>
      <c r="L11" s="24" t="n">
        <v>2</v>
      </c>
      <c r="N11" s="22" t="n">
        <v>0.00017</v>
      </c>
      <c r="O11" s="22" t="n">
        <f aca="false">IF(I10="","",I10+N11)</f>
        <v>125.00017</v>
      </c>
      <c r="P11" s="23" t="str">
        <f aca="false">IF(C10=0,"",C10)</f>
        <v>Integración de pasarelas de pago locales</v>
      </c>
      <c r="Q11" s="16" t="n">
        <f aca="false">I10</f>
        <v>125</v>
      </c>
    </row>
    <row r="12" customFormat="false" ht="14.25" hidden="false" customHeight="true" outlineLevel="0" collapsed="false">
      <c r="B12" s="16" t="n">
        <f aca="false">I12</f>
        <v>0</v>
      </c>
      <c r="C12" s="39" t="s">
        <v>76</v>
      </c>
      <c r="D12" s="17" t="s">
        <v>77</v>
      </c>
      <c r="E12" s="18"/>
      <c r="F12" s="18"/>
      <c r="G12" s="18"/>
      <c r="H12" s="18"/>
      <c r="I12" s="20"/>
      <c r="K12" s="21" t="s">
        <v>48</v>
      </c>
      <c r="L12" s="24" t="n">
        <v>3</v>
      </c>
      <c r="N12" s="22" t="n">
        <v>0.00016</v>
      </c>
      <c r="O12" s="22" t="str">
        <f aca="false">IF(I11="","",I11+N12)</f>
        <v/>
      </c>
      <c r="P12" s="23" t="str">
        <f aca="false">IF(C11=0,"",C11)</f>
        <v>E1</v>
      </c>
      <c r="Q12" s="16" t="n">
        <f aca="false">I11</f>
        <v>0</v>
      </c>
    </row>
    <row r="13" customFormat="false" ht="17.25" hidden="false" customHeight="true" outlineLevel="0" collapsed="false">
      <c r="B13" s="16" t="n">
        <f aca="false">I13</f>
        <v>0</v>
      </c>
      <c r="C13" s="39" t="s">
        <v>78</v>
      </c>
      <c r="D13" s="17" t="s">
        <v>79</v>
      </c>
      <c r="E13" s="18"/>
      <c r="F13" s="18"/>
      <c r="G13" s="18"/>
      <c r="H13" s="18"/>
      <c r="I13" s="20"/>
      <c r="K13" s="21" t="s">
        <v>38</v>
      </c>
      <c r="L13" s="24" t="n">
        <v>4</v>
      </c>
      <c r="N13" s="22" t="n">
        <v>0.00015</v>
      </c>
      <c r="O13" s="22" t="str">
        <f aca="false">IF(I12="","",I12+N13)</f>
        <v/>
      </c>
      <c r="P13" s="23" t="str">
        <f aca="false">IF(C12=0,"",C12)</f>
        <v>E2</v>
      </c>
      <c r="Q13" s="16" t="n">
        <f aca="false">I12</f>
        <v>0</v>
      </c>
    </row>
    <row r="14" customFormat="false" ht="14.25" hidden="false" customHeight="true" outlineLevel="0" collapsed="false">
      <c r="B14" s="16" t="n">
        <f aca="false">I14</f>
        <v>0</v>
      </c>
      <c r="C14" s="17"/>
      <c r="D14" s="17"/>
      <c r="E14" s="18"/>
      <c r="F14" s="18"/>
      <c r="G14" s="18"/>
      <c r="H14" s="18"/>
      <c r="I14" s="20"/>
      <c r="K14" s="21" t="s">
        <v>29</v>
      </c>
      <c r="L14" s="24" t="n">
        <v>5</v>
      </c>
      <c r="N14" s="22" t="n">
        <v>0.00014</v>
      </c>
      <c r="O14" s="22" t="str">
        <f aca="false">IF(I13="","",I13+N14)</f>
        <v/>
      </c>
      <c r="P14" s="23" t="str">
        <f aca="false">IF(C13=0,"",C13)</f>
        <v>E3</v>
      </c>
      <c r="Q14" s="16" t="n">
        <f aca="false">I13</f>
        <v>0</v>
      </c>
    </row>
    <row r="15" customFormat="false" ht="14.25" hidden="false" customHeight="true" outlineLevel="0" collapsed="false">
      <c r="B15" s="16" t="n">
        <f aca="false">I15</f>
        <v>0</v>
      </c>
      <c r="C15" s="17"/>
      <c r="D15" s="17"/>
      <c r="E15" s="18"/>
      <c r="F15" s="18"/>
      <c r="G15" s="18"/>
      <c r="H15" s="18"/>
      <c r="I15" s="20"/>
      <c r="K15" s="21"/>
      <c r="L15" s="21"/>
      <c r="N15" s="22" t="n">
        <v>0.00013</v>
      </c>
      <c r="O15" s="22" t="str">
        <f aca="false">IF(I14="","",I14+N15)</f>
        <v/>
      </c>
      <c r="P15" s="23" t="str">
        <f aca="false">IF(C14=0,"",C14)</f>
        <v/>
      </c>
      <c r="Q15" s="16" t="n">
        <f aca="false">I14</f>
        <v>0</v>
      </c>
    </row>
    <row r="16" customFormat="false" ht="30.75" hidden="false" customHeight="true" outlineLevel="0" collapsed="false">
      <c r="B16" s="16" t="n">
        <f aca="false">I16</f>
        <v>0</v>
      </c>
      <c r="C16" s="17"/>
      <c r="D16" s="17"/>
      <c r="E16" s="18"/>
      <c r="F16" s="18"/>
      <c r="G16" s="18"/>
      <c r="H16" s="18"/>
      <c r="I16" s="20"/>
      <c r="K16" s="21" t="s">
        <v>24</v>
      </c>
      <c r="L16" s="21"/>
      <c r="N16" s="22" t="n">
        <v>0.00012</v>
      </c>
      <c r="O16" s="22" t="str">
        <f aca="false">IF(I15="","",I15+N16)</f>
        <v/>
      </c>
      <c r="P16" s="23" t="str">
        <f aca="false">IF(C15=0,"",C15)</f>
        <v/>
      </c>
      <c r="Q16" s="16" t="n">
        <f aca="false">I15</f>
        <v>0</v>
      </c>
    </row>
    <row r="17" customFormat="false" ht="14.25" hidden="false" customHeight="true" outlineLevel="0" collapsed="false">
      <c r="B17" s="16" t="str">
        <f aca="false">I17</f>
        <v/>
      </c>
      <c r="C17" s="17"/>
      <c r="D17" s="17"/>
      <c r="E17" s="18"/>
      <c r="F17" s="18"/>
      <c r="G17" s="18"/>
      <c r="H17" s="18"/>
      <c r="I17" s="20" t="str">
        <f aca="false">IF(ISERROR(VLOOKUP(E17,$K$10:$L$14,2,FALSE())*VLOOKUP(G17,$K$18:$L$22,2,FALSE())*VLOOKUP(H17,$K$26:$L$30,2,FALSE())),"",VLOOKUP(E17,$K$10:$L$14,2,FALSE())*VLOOKUP(G17,$K$18:$L$22,2,FALSE())*VLOOKUP(H17,$K$26:$L$30,2,FALSE()))</f>
        <v/>
      </c>
      <c r="K17" s="24"/>
      <c r="L17" s="21"/>
      <c r="N17" s="22" t="n">
        <v>0.00011</v>
      </c>
      <c r="O17" s="22" t="str">
        <f aca="false">IF(I16="","",I16+N17)</f>
        <v/>
      </c>
      <c r="P17" s="23" t="str">
        <f aca="false">IF(C16=0,"",C16)</f>
        <v/>
      </c>
      <c r="Q17" s="16" t="n">
        <f aca="false">I16</f>
        <v>0</v>
      </c>
    </row>
    <row r="18" customFormat="false" ht="14.25" hidden="false" customHeight="true" outlineLevel="0" collapsed="false">
      <c r="B18" s="16" t="str">
        <f aca="false">I18</f>
        <v/>
      </c>
      <c r="C18" s="17"/>
      <c r="D18" s="17"/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21" t="s">
        <v>51</v>
      </c>
      <c r="L18" s="24" t="n">
        <v>5</v>
      </c>
      <c r="N18" s="22" t="n">
        <v>0.0001</v>
      </c>
      <c r="O18" s="23" t="str">
        <f aca="false">IF(I17="","",I17+N18)</f>
        <v/>
      </c>
      <c r="P18" s="23" t="str">
        <f aca="false">IF(C17=0,"",C17)</f>
        <v/>
      </c>
      <c r="Q18" s="16" t="str">
        <f aca="false">I17</f>
        <v/>
      </c>
    </row>
    <row r="19" customFormat="false" ht="14.25" hidden="false" customHeight="true" outlineLevel="0" collapsed="false">
      <c r="B19" s="16" t="str">
        <f aca="false">I19</f>
        <v/>
      </c>
      <c r="C19" s="17"/>
      <c r="D19" s="17"/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21" t="s">
        <v>35</v>
      </c>
      <c r="L19" s="24" t="n">
        <v>4</v>
      </c>
      <c r="N19" s="22" t="n">
        <v>9E-005</v>
      </c>
      <c r="O19" s="23" t="str">
        <f aca="false">IF(I18="","",I18+N19)</f>
        <v/>
      </c>
      <c r="P19" s="23" t="str">
        <f aca="false">IF(C18=0,"",C18)</f>
        <v/>
      </c>
      <c r="Q19" s="16" t="str">
        <f aca="false">I18</f>
        <v/>
      </c>
    </row>
    <row r="20" customFormat="false" ht="14.25" hidden="false" customHeight="true" outlineLevel="0" collapsed="false">
      <c r="B20" s="16" t="str">
        <f aca="false">I20</f>
        <v/>
      </c>
      <c r="C20" s="17"/>
      <c r="D20" s="17"/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21" t="s">
        <v>52</v>
      </c>
      <c r="L20" s="24" t="n">
        <v>3</v>
      </c>
      <c r="N20" s="22" t="n">
        <v>8E-005</v>
      </c>
      <c r="O20" s="23" t="str">
        <f aca="false">IF(I19="","",I19+N20)</f>
        <v/>
      </c>
      <c r="P20" s="23" t="str">
        <f aca="false">IF(C19=0,"",C19)</f>
        <v/>
      </c>
      <c r="Q20" s="16" t="str">
        <f aca="false">I19</f>
        <v/>
      </c>
    </row>
    <row r="21" customFormat="false" ht="14.25" hidden="false" customHeight="true" outlineLevel="0" collapsed="false">
      <c r="B21" s="16" t="str">
        <f aca="false">I21</f>
        <v/>
      </c>
      <c r="C21" s="17"/>
      <c r="D21" s="17"/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21" t="s">
        <v>53</v>
      </c>
      <c r="L21" s="24" t="n">
        <v>2</v>
      </c>
      <c r="N21" s="22" t="n">
        <v>7E-005</v>
      </c>
      <c r="O21" s="23" t="str">
        <f aca="false">IF(I20="","",I20+N21)</f>
        <v/>
      </c>
      <c r="P21" s="23" t="str">
        <f aca="false">IF(C20=0,"",C20)</f>
        <v/>
      </c>
      <c r="Q21" s="16" t="str">
        <f aca="false">I20</f>
        <v/>
      </c>
    </row>
    <row r="22" customFormat="false" ht="14.25" hidden="false" customHeight="true" outlineLevel="0" collapsed="false">
      <c r="B22" s="16" t="str">
        <f aca="false">I22</f>
        <v/>
      </c>
      <c r="C22" s="17"/>
      <c r="D22" s="17"/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21" t="s">
        <v>54</v>
      </c>
      <c r="L22" s="24" t="n">
        <v>1</v>
      </c>
      <c r="N22" s="22" t="n">
        <v>6E-005</v>
      </c>
      <c r="O22" s="23" t="str">
        <f aca="false">IF(I21="","",I21+N22)</f>
        <v/>
      </c>
      <c r="P22" s="23" t="str">
        <f aca="false">IF(C21=0,"",C21)</f>
        <v/>
      </c>
      <c r="Q22" s="16" t="str">
        <f aca="false">I21</f>
        <v/>
      </c>
    </row>
    <row r="23" customFormat="false" ht="14.25" hidden="false" customHeight="true" outlineLevel="0" collapsed="false">
      <c r="B23" s="16" t="str">
        <f aca="false">I23</f>
        <v/>
      </c>
      <c r="C23" s="17"/>
      <c r="D23" s="17"/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21"/>
      <c r="L23" s="21"/>
      <c r="N23" s="22" t="n">
        <v>5E-005</v>
      </c>
      <c r="O23" s="23" t="str">
        <f aca="false">IF(I22="","",I22+N23)</f>
        <v/>
      </c>
      <c r="P23" s="23" t="str">
        <f aca="false">IF(C22=0,"",C22)</f>
        <v/>
      </c>
      <c r="Q23" s="16" t="str">
        <f aca="false">I22</f>
        <v/>
      </c>
    </row>
    <row r="24" customFormat="false" ht="14.25" hidden="false" customHeight="true" outlineLevel="0" collapsed="false">
      <c r="B24" s="16" t="str">
        <f aca="false">I24</f>
        <v/>
      </c>
      <c r="C24" s="17"/>
      <c r="D24" s="17"/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21" t="s">
        <v>55</v>
      </c>
      <c r="L24" s="21"/>
      <c r="N24" s="22" t="n">
        <v>4E-005</v>
      </c>
      <c r="O24" s="23" t="str">
        <f aca="false">IF(I23="","",I23+N24)</f>
        <v/>
      </c>
      <c r="P24" s="23" t="str">
        <f aca="false">IF(C23=0,"",C23)</f>
        <v/>
      </c>
      <c r="Q24" s="16" t="str">
        <f aca="false">I23</f>
        <v/>
      </c>
    </row>
    <row r="25" customFormat="false" ht="14.25" hidden="false" customHeight="true" outlineLevel="0" collapsed="false">
      <c r="B25" s="16" t="str">
        <f aca="false">I25</f>
        <v/>
      </c>
      <c r="C25" s="17"/>
      <c r="D25" s="17"/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24"/>
      <c r="L25" s="21"/>
      <c r="N25" s="22" t="n">
        <v>3E-005</v>
      </c>
      <c r="O25" s="23" t="str">
        <f aca="false">IF(I24="","",I24+N25)</f>
        <v/>
      </c>
      <c r="P25" s="23" t="str">
        <f aca="false">IF(C24=0,"",C24)</f>
        <v/>
      </c>
      <c r="Q25" s="16" t="str">
        <f aca="false">I24</f>
        <v/>
      </c>
    </row>
    <row r="26" customFormat="false" ht="14.25" hidden="false" customHeight="true" outlineLevel="0" collapsed="false">
      <c r="B26" s="16" t="str">
        <f aca="false">I26</f>
        <v/>
      </c>
      <c r="C26" s="17"/>
      <c r="D26" s="17"/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21" t="s">
        <v>56</v>
      </c>
      <c r="L26" s="24" t="n">
        <v>5</v>
      </c>
      <c r="N26" s="22" t="n">
        <v>2E-005</v>
      </c>
      <c r="O26" s="23" t="str">
        <f aca="false">IF(I25="","",I25+N26)</f>
        <v/>
      </c>
      <c r="P26" s="23" t="str">
        <f aca="false">IF(C25=0,"",C25)</f>
        <v/>
      </c>
      <c r="Q26" s="16" t="str">
        <f aca="false">I25</f>
        <v/>
      </c>
    </row>
    <row r="27" customFormat="false" ht="14.25" hidden="false" customHeight="true" outlineLevel="0" collapsed="false">
      <c r="B27" s="16" t="str">
        <f aca="false">I27</f>
        <v/>
      </c>
      <c r="C27" s="17"/>
      <c r="D27" s="17"/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21" t="s">
        <v>32</v>
      </c>
      <c r="L27" s="24" t="n">
        <v>4</v>
      </c>
      <c r="N27" s="22" t="n">
        <v>1E-005</v>
      </c>
      <c r="O27" s="23" t="str">
        <f aca="false">IF(I26="","",I26+N27)</f>
        <v/>
      </c>
      <c r="P27" s="23" t="str">
        <f aca="false">IF(C26=0,"",C26)</f>
        <v/>
      </c>
      <c r="Q27" s="16" t="str">
        <f aca="false">I26</f>
        <v/>
      </c>
    </row>
    <row r="28" customFormat="false" ht="14.25" hidden="false" customHeight="true" outlineLevel="0" collapsed="false">
      <c r="B28" s="16" t="str">
        <f aca="false">I28</f>
        <v/>
      </c>
      <c r="C28" s="17"/>
      <c r="D28" s="17"/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21" t="s">
        <v>48</v>
      </c>
      <c r="L28" s="24" t="n">
        <v>3</v>
      </c>
      <c r="N28" s="40"/>
      <c r="O28" s="41"/>
      <c r="P28" s="41"/>
      <c r="Q28" s="41"/>
    </row>
    <row r="29" customFormat="false" ht="14.25" hidden="false" customHeight="true" outlineLevel="0" collapsed="false">
      <c r="B29" s="16" t="str">
        <f aca="false">I29</f>
        <v/>
      </c>
      <c r="C29" s="17"/>
      <c r="D29" s="17"/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21" t="s">
        <v>57</v>
      </c>
      <c r="L29" s="24" t="n">
        <v>2</v>
      </c>
      <c r="N29" s="40"/>
      <c r="O29" s="41"/>
      <c r="P29" s="41"/>
      <c r="Q29" s="41"/>
    </row>
    <row r="30" customFormat="false" ht="14.25" hidden="false" customHeight="true" outlineLevel="0" collapsed="false">
      <c r="B30" s="16" t="str">
        <f aca="false">I30</f>
        <v/>
      </c>
      <c r="C30" s="17"/>
      <c r="D30" s="17"/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21" t="s">
        <v>58</v>
      </c>
      <c r="L30" s="24" t="n">
        <v>1</v>
      </c>
      <c r="N30" s="40"/>
      <c r="O30" s="41"/>
      <c r="P30" s="41"/>
      <c r="Q30" s="41"/>
    </row>
    <row r="31" customFormat="false" ht="14.25" hidden="false" customHeight="true" outlineLevel="0" collapsed="false">
      <c r="C31" s="8" t="s">
        <v>80</v>
      </c>
      <c r="I31" s="8" t="n">
        <f aca="false">SUM(I7:I30)</f>
        <v>330</v>
      </c>
    </row>
    <row r="32" customFormat="false" ht="14.25" hidden="false" customHeight="true" outlineLevel="0" collapsed="false">
      <c r="K32" s="21" t="s">
        <v>60</v>
      </c>
      <c r="N32" s="42"/>
      <c r="O32" s="21" t="n">
        <f aca="false">IF(I31="","",I31+N32)</f>
        <v>330</v>
      </c>
      <c r="P32" s="21" t="str">
        <f aca="false">IF(C31=0,"",C31)</f>
        <v>La puntuación global de los factores económicos</v>
      </c>
      <c r="Q32" s="43" t="n">
        <f aca="false">I31</f>
        <v>330</v>
      </c>
    </row>
    <row r="33" customFormat="false" ht="14.25" hidden="false" customHeight="true" outlineLevel="0" collapsed="false"/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">
    <mergeCell ref="C1:I2"/>
    <mergeCell ref="C3:I4"/>
  </mergeCells>
  <conditionalFormatting sqref="E7:F30">
    <cfRule type="containsText" priority="2" operator="containsText" aboveAverage="0" equalAverage="0" bottom="0" percent="0" rank="0" text="Poco importante" dxfId="4">
      <formula>NOT(ISERROR(SEARCH("Poco importante",E7)))</formula>
    </cfRule>
    <cfRule type="containsText" priority="3" operator="containsText" aboveAverage="0" equalAverage="0" bottom="0" percent="0" rank="0" text="Muy importante" dxfId="5">
      <formula>NOT(ISERROR(SEARCH("Muy importante",E7)))</formula>
    </cfRule>
    <cfRule type="containsText" priority="4" operator="containsText" aboveAverage="0" equalAverage="0" bottom="0" percent="0" rank="0" text="Importante" dxfId="6">
      <formula>NOT(ISERROR(SEARCH("Importante",E7)))</formula>
    </cfRule>
    <cfRule type="containsText" priority="5" operator="containsText" aboveAverage="0" equalAverage="0" bottom="0" percent="0" rank="0" text="Indiferente" dxfId="7">
      <formula>NOT(ISERROR(SEARCH("Indiferente",E7)))</formula>
    </cfRule>
    <cfRule type="containsText" priority="6" operator="containsText" aboveAverage="0" equalAverage="0" bottom="0" percent="0" rank="0" text="Sin importancia" dxfId="8">
      <formula>NOT(ISERROR(SEARCH("Sin importancia",E7)))</formula>
    </cfRule>
    <cfRule type="containsText" priority="7" operator="containsText" aboveAverage="0" equalAverage="0" bottom="0" percent="0" rank="0" text="Poco importante" dxfId="11">
      <formula>NOT(ISERROR(SEARCH("Poco importante",E7)))</formula>
    </cfRule>
  </conditionalFormatting>
  <conditionalFormatting sqref="G7:G30">
    <cfRule type="containsText" priority="8" operator="containsText" aboveAverage="0" equalAverage="0" bottom="0" percent="0" rank="0" text="Muy Fuerte" dxfId="5">
      <formula>NOT(ISERROR(SEARCH("Muy Fuerte",G7)))</formula>
    </cfRule>
    <cfRule type="containsText" priority="9" operator="containsText" aboveAverage="0" equalAverage="0" bottom="0" percent="0" rank="0" text="Muy Débil" dxfId="8">
      <formula>NOT(ISERROR(SEARCH("Muy Débil",G7)))</formula>
    </cfRule>
    <cfRule type="containsText" priority="10" operator="containsText" aboveAverage="0" equalAverage="0" bottom="0" percent="0" rank="0" text="Débil" dxfId="4">
      <formula>NOT(ISERROR(SEARCH("Débil",G7)))</formula>
    </cfRule>
    <cfRule type="containsText" priority="11" operator="containsText" aboveAverage="0" equalAverage="0" bottom="0" percent="0" rank="0" text="Promedio" dxfId="7">
      <formula>NOT(ISERROR(SEARCH("Promedio",G7)))</formula>
    </cfRule>
    <cfRule type="containsText" priority="12" operator="containsText" aboveAverage="0" equalAverage="0" bottom="0" percent="0" rank="0" text="Fuerte" dxfId="6">
      <formula>NOT(ISERROR(SEARCH("Fuerte",G7)))</formula>
    </cfRule>
    <cfRule type="containsText" priority="13" operator="containsText" aboveAverage="0" equalAverage="0" bottom="0" percent="0" rank="0" text="Muy fuerte" dxfId="5">
      <formula>NOT(ISERROR(SEARCH("Muy fuerte",G7)))</formula>
    </cfRule>
  </conditionalFormatting>
  <conditionalFormatting sqref="H7:H30">
    <cfRule type="containsText" priority="14" operator="containsText" aboveAverage="0" equalAverage="0" bottom="0" percent="0" rank="0" text="Mejora Mucho" dxfId="5">
      <formula>NOT(ISERROR(SEARCH("Mejora Mucho",H7)))</formula>
    </cfRule>
    <cfRule type="containsText" priority="15" operator="containsText" aboveAverage="0" equalAverage="0" bottom="0" percent="0" rank="0" text="Mucho Peor" dxfId="8">
      <formula>NOT(ISERROR(SEARCH("Mucho Peor",H7)))</formula>
    </cfRule>
    <cfRule type="containsText" priority="16" operator="containsText" aboveAverage="0" equalAverage="0" bottom="0" percent="0" rank="0" text="Peor" dxfId="4">
      <formula>NOT(ISERROR(SEARCH("Peor",H7)))</formula>
    </cfRule>
    <cfRule type="containsText" priority="17" operator="containsText" aboveAverage="0" equalAverage="0" bottom="0" percent="0" rank="0" text="Indiferente" dxfId="7">
      <formula>NOT(ISERROR(SEARCH("Indiferente",H7)))</formula>
    </cfRule>
    <cfRule type="containsText" priority="18" operator="containsText" aboveAverage="0" equalAverage="0" bottom="0" percent="0" rank="0" text="Mejora" dxfId="6">
      <formula>NOT(ISERROR(SEARCH("Mejora",H7)))</formula>
    </cfRule>
  </conditionalFormatting>
  <dataValidations count="4">
    <dataValidation allowBlank="true" errorStyle="stop" operator="between" showDropDown="false" showErrorMessage="true" showInputMessage="false" sqref="E7:E30" type="list">
      <formula1>$K$10:$K$14</formula1>
      <formula2>0</formula2>
    </dataValidation>
    <dataValidation allowBlank="true" errorStyle="stop" operator="between" showDropDown="false" showErrorMessage="true" showInputMessage="false" sqref="F7:F30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K1" activeCellId="0" sqref="K1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8.56"/>
    <col collapsed="false" customWidth="true" hidden="false" outlineLevel="0" max="4" min="3" style="8" width="35.67"/>
    <col collapsed="false" customWidth="true" hidden="false" outlineLevel="0" max="9" min="5" style="8" width="15.66"/>
    <col collapsed="false" customWidth="false" hidden="false" outlineLevel="0" max="10" min="10" style="8" width="14.44"/>
    <col collapsed="false" customWidth="false" hidden="true" outlineLevel="0" max="17" min="11" style="8" width="14.44"/>
    <col collapsed="false" customWidth="false" hidden="false" outlineLevel="0" max="16384" min="18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10" t="s">
        <v>81</v>
      </c>
      <c r="D3" s="10"/>
      <c r="E3" s="10"/>
      <c r="F3" s="10"/>
      <c r="G3" s="10"/>
      <c r="H3" s="10"/>
      <c r="I3" s="10"/>
    </row>
    <row r="4" customFormat="false" ht="14.25" hidden="false" customHeight="true" outlineLevel="0" collapsed="false">
      <c r="C4" s="10"/>
      <c r="D4" s="10"/>
      <c r="E4" s="10"/>
      <c r="F4" s="10"/>
      <c r="G4" s="10"/>
      <c r="H4" s="10"/>
      <c r="I4" s="10"/>
    </row>
    <row r="5" customFormat="false" ht="14.25" hidden="false" customHeight="true" outlineLevel="0" collapsed="false"/>
    <row r="6" customFormat="false" ht="14.25" hidden="false" customHeight="true" outlineLevel="0" collapsed="false">
      <c r="C6" s="13" t="s">
        <v>82</v>
      </c>
      <c r="D6" s="14" t="s">
        <v>21</v>
      </c>
      <c r="E6" s="13" t="s">
        <v>22</v>
      </c>
      <c r="F6" s="14" t="s">
        <v>23</v>
      </c>
      <c r="G6" s="13" t="s">
        <v>24</v>
      </c>
      <c r="H6" s="14" t="s">
        <v>64</v>
      </c>
      <c r="I6" s="13" t="s">
        <v>26</v>
      </c>
    </row>
    <row r="7" customFormat="false" ht="42.75" hidden="false" customHeight="true" outlineLevel="0" collapsed="false">
      <c r="B7" s="16" t="n">
        <f aca="false">I7</f>
        <v>125</v>
      </c>
      <c r="C7" s="17" t="s">
        <v>83</v>
      </c>
      <c r="D7" s="17" t="s">
        <v>84</v>
      </c>
      <c r="E7" s="18" t="s">
        <v>29</v>
      </c>
      <c r="F7" s="18" t="s">
        <v>30</v>
      </c>
      <c r="G7" s="18" t="s">
        <v>31</v>
      </c>
      <c r="H7" s="18" t="s">
        <v>69</v>
      </c>
      <c r="I7" s="19" t="n">
        <f aca="false">IF(ISERROR(VLOOKUP(E7,$K$10:$L$14,2,FALSE())*VLOOKUP(G7,$K$18:$L$22,2,FALSE())*VLOOKUP(H7,$K$26:$L$30,2,FALSE())),"",VLOOKUP(E7,$K$10:$L$14,2,FALSE())*VLOOKUP(G7,$K$18:$L$22,2,FALSE())*VLOOKUP(H7,$K$26:$L$30,2,FALSE()))</f>
        <v>125</v>
      </c>
    </row>
    <row r="8" customFormat="false" ht="57" hidden="false" customHeight="true" outlineLevel="0" collapsed="false">
      <c r="B8" s="16" t="n">
        <f aca="false">I8</f>
        <v>75</v>
      </c>
      <c r="C8" s="17" t="s">
        <v>85</v>
      </c>
      <c r="D8" s="17" t="s">
        <v>86</v>
      </c>
      <c r="E8" s="18" t="s">
        <v>29</v>
      </c>
      <c r="F8" s="18" t="s">
        <v>30</v>
      </c>
      <c r="G8" s="18" t="s">
        <v>31</v>
      </c>
      <c r="H8" s="18" t="s">
        <v>48</v>
      </c>
      <c r="I8" s="20" t="n">
        <f aca="false">IF(ISERROR(VLOOKUP(E8,$K$10:$L$14,2,FALSE())*VLOOKUP(G8,$K$18:$L$22,2,FALSE())*VLOOKUP(H8,$K$26:$L$30,2,FALSE())),"",VLOOKUP(E8,$K$10:$L$14,2,FALSE())*VLOOKUP(G8,$K$18:$L$22,2,FALSE())*VLOOKUP(H8,$K$26:$L$30,2,FALSE()))</f>
        <v>75</v>
      </c>
      <c r="K8" s="21" t="s">
        <v>22</v>
      </c>
      <c r="L8" s="21"/>
      <c r="M8" s="27"/>
      <c r="N8" s="22" t="n">
        <v>0.0002</v>
      </c>
      <c r="O8" s="22" t="n">
        <f aca="false">IF(I7="","",I7+N8)</f>
        <v>125.0002</v>
      </c>
      <c r="P8" s="44" t="str">
        <f aca="false">IF(C7=0,"",C7)</f>
        <v>Urbanización y aislamiento social en ciudades</v>
      </c>
      <c r="Q8" s="45" t="n">
        <f aca="false">I7</f>
        <v>125</v>
      </c>
    </row>
    <row r="9" customFormat="false" ht="72" hidden="false" customHeight="true" outlineLevel="0" collapsed="false">
      <c r="B9" s="16" t="n">
        <f aca="false">I9</f>
        <v>125</v>
      </c>
      <c r="C9" s="17" t="s">
        <v>87</v>
      </c>
      <c r="D9" s="17" t="s">
        <v>88</v>
      </c>
      <c r="E9" s="18" t="s">
        <v>29</v>
      </c>
      <c r="F9" s="18" t="s">
        <v>30</v>
      </c>
      <c r="G9" s="18" t="s">
        <v>31</v>
      </c>
      <c r="H9" s="18" t="s">
        <v>69</v>
      </c>
      <c r="I9" s="20" t="n">
        <f aca="false">IF(ISERROR(VLOOKUP(E9,$K$10:$L$14,2,FALSE())*VLOOKUP(G9,$K$18:$L$22,2,FALSE())*VLOOKUP(H9,$K$26:$L$30,2,FALSE())),"",VLOOKUP(E9,$K$10:$L$14,2,FALSE())*VLOOKUP(G9,$K$18:$L$22,2,FALSE())*VLOOKUP(H9,$K$26:$L$30,2,FALSE()))</f>
        <v>125</v>
      </c>
      <c r="K9" s="24"/>
      <c r="L9" s="21"/>
      <c r="M9" s="27"/>
      <c r="N9" s="22" t="n">
        <v>0.00019</v>
      </c>
      <c r="O9" s="22" t="n">
        <f aca="false">IF(I8="","",I8+N9)</f>
        <v>75.00019</v>
      </c>
      <c r="P9" s="44" t="str">
        <f aca="false">IF(C8=0,"",C8)</f>
        <v>Cultura de agrupación social (parches informales)</v>
      </c>
      <c r="Q9" s="45" t="n">
        <f aca="false">I8</f>
        <v>75</v>
      </c>
    </row>
    <row r="10" customFormat="false" ht="14.25" hidden="false" customHeight="true" outlineLevel="0" collapsed="false">
      <c r="B10" s="16" t="n">
        <f aca="false">I10</f>
        <v>100</v>
      </c>
      <c r="C10" s="17" t="s">
        <v>89</v>
      </c>
      <c r="D10" s="17" t="s">
        <v>90</v>
      </c>
      <c r="E10" s="18" t="s">
        <v>29</v>
      </c>
      <c r="F10" s="18" t="s">
        <v>30</v>
      </c>
      <c r="G10" s="18" t="s">
        <v>31</v>
      </c>
      <c r="H10" s="18" t="s">
        <v>32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100</v>
      </c>
      <c r="K10" s="21" t="s">
        <v>42</v>
      </c>
      <c r="L10" s="24" t="n">
        <v>1</v>
      </c>
      <c r="M10" s="27"/>
      <c r="N10" s="22" t="n">
        <v>0.00018</v>
      </c>
      <c r="O10" s="22" t="n">
        <f aca="false">IF(I9="","",I9+N10)</f>
        <v>125.00018</v>
      </c>
      <c r="P10" s="44" t="str">
        <f aca="false">IF(C9=0,"",C9)</f>
        <v>Aceptación de plataformas digitales sociales entre jóvenes</v>
      </c>
      <c r="Q10" s="45" t="n">
        <f aca="false">I9</f>
        <v>125</v>
      </c>
    </row>
    <row r="11" customFormat="false" ht="14.25" hidden="false" customHeight="true" outlineLevel="0" collapsed="false">
      <c r="B11" s="16" t="n">
        <f aca="false">I11</f>
        <v>0</v>
      </c>
      <c r="C11" s="39" t="s">
        <v>91</v>
      </c>
      <c r="D11" s="17" t="s">
        <v>92</v>
      </c>
      <c r="E11" s="18"/>
      <c r="F11" s="18"/>
      <c r="G11" s="18"/>
      <c r="H11" s="18"/>
      <c r="I11" s="20"/>
      <c r="K11" s="21" t="s">
        <v>45</v>
      </c>
      <c r="L11" s="24" t="n">
        <v>2</v>
      </c>
      <c r="M11" s="27"/>
      <c r="N11" s="22" t="n">
        <v>0.00017</v>
      </c>
      <c r="O11" s="22" t="n">
        <f aca="false">IF(I10="","",I10+N11)</f>
        <v>100.00017</v>
      </c>
      <c r="P11" s="44" t="str">
        <f aca="false">IF(C10=0,"",C10)</f>
        <v>Preocupaciones de seguridad en encuentros presenciales</v>
      </c>
      <c r="Q11" s="45" t="n">
        <f aca="false">I10</f>
        <v>100</v>
      </c>
    </row>
    <row r="12" customFormat="false" ht="14.25" hidden="false" customHeight="true" outlineLevel="0" collapsed="false">
      <c r="B12" s="16" t="n">
        <f aca="false">I12</f>
        <v>0</v>
      </c>
      <c r="C12" s="39" t="s">
        <v>93</v>
      </c>
      <c r="D12" s="17" t="s">
        <v>94</v>
      </c>
      <c r="E12" s="18"/>
      <c r="F12" s="18"/>
      <c r="G12" s="18"/>
      <c r="H12" s="18"/>
      <c r="I12" s="20"/>
      <c r="K12" s="21" t="s">
        <v>48</v>
      </c>
      <c r="L12" s="24" t="n">
        <v>3</v>
      </c>
      <c r="M12" s="27"/>
      <c r="N12" s="22" t="n">
        <v>0.00016</v>
      </c>
      <c r="O12" s="22" t="str">
        <f aca="false">IF(I11="","",I11+N12)</f>
        <v/>
      </c>
      <c r="P12" s="44" t="str">
        <f aca="false">IF(C11=0,"",C11)</f>
        <v>S1</v>
      </c>
      <c r="Q12" s="45" t="n">
        <f aca="false">I11</f>
        <v>0</v>
      </c>
    </row>
    <row r="13" customFormat="false" ht="14.25" hidden="false" customHeight="true" outlineLevel="0" collapsed="false">
      <c r="B13" s="16" t="n">
        <f aca="false">I13</f>
        <v>0</v>
      </c>
      <c r="C13" s="39" t="s">
        <v>95</v>
      </c>
      <c r="D13" s="17" t="s">
        <v>96</v>
      </c>
      <c r="E13" s="18"/>
      <c r="F13" s="18"/>
      <c r="G13" s="18"/>
      <c r="H13" s="18"/>
      <c r="I13" s="20"/>
      <c r="K13" s="21" t="s">
        <v>38</v>
      </c>
      <c r="L13" s="24" t="n">
        <v>4</v>
      </c>
      <c r="M13" s="27"/>
      <c r="N13" s="22" t="n">
        <v>0.00015</v>
      </c>
      <c r="O13" s="22" t="str">
        <f aca="false">IF(I12="","",I12+N13)</f>
        <v/>
      </c>
      <c r="P13" s="44" t="str">
        <f aca="false">IF(C12=0,"",C12)</f>
        <v>S2</v>
      </c>
      <c r="Q13" s="45" t="n">
        <f aca="false">I12</f>
        <v>0</v>
      </c>
    </row>
    <row r="14" customFormat="false" ht="14.25" hidden="false" customHeight="true" outlineLevel="0" collapsed="false">
      <c r="B14" s="16" t="n">
        <f aca="false">I14</f>
        <v>0</v>
      </c>
      <c r="C14" s="17"/>
      <c r="D14" s="17"/>
      <c r="E14" s="18"/>
      <c r="F14" s="18"/>
      <c r="G14" s="18"/>
      <c r="H14" s="18"/>
      <c r="I14" s="20"/>
      <c r="K14" s="21" t="s">
        <v>29</v>
      </c>
      <c r="L14" s="24" t="n">
        <v>5</v>
      </c>
      <c r="M14" s="27"/>
      <c r="N14" s="22" t="n">
        <v>0.00014</v>
      </c>
      <c r="O14" s="22" t="str">
        <f aca="false">IF(I13="","",I13+N14)</f>
        <v/>
      </c>
      <c r="P14" s="44" t="str">
        <f aca="false">IF(C13=0,"",C13)</f>
        <v>S3</v>
      </c>
      <c r="Q14" s="45" t="n">
        <f aca="false">I13</f>
        <v>0</v>
      </c>
    </row>
    <row r="15" customFormat="false" ht="14.25" hidden="false" customHeight="true" outlineLevel="0" collapsed="false">
      <c r="B15" s="16" t="n">
        <f aca="false">I15</f>
        <v>0</v>
      </c>
      <c r="C15" s="17"/>
      <c r="D15" s="17"/>
      <c r="E15" s="18"/>
      <c r="F15" s="18"/>
      <c r="G15" s="18"/>
      <c r="H15" s="18"/>
      <c r="I15" s="20"/>
      <c r="K15" s="21"/>
      <c r="L15" s="21"/>
      <c r="M15" s="27"/>
      <c r="N15" s="22" t="n">
        <v>0.00013</v>
      </c>
      <c r="O15" s="22" t="str">
        <f aca="false">IF(I14="","",I14+N15)</f>
        <v/>
      </c>
      <c r="P15" s="44" t="str">
        <f aca="false">IF(C14=0,"",C14)</f>
        <v/>
      </c>
      <c r="Q15" s="45" t="n">
        <f aca="false">I14</f>
        <v>0</v>
      </c>
    </row>
    <row r="16" customFormat="false" ht="14.25" hidden="false" customHeight="true" outlineLevel="0" collapsed="false">
      <c r="B16" s="16" t="n">
        <f aca="false">I16</f>
        <v>0</v>
      </c>
      <c r="C16" s="17"/>
      <c r="D16" s="17"/>
      <c r="E16" s="18"/>
      <c r="F16" s="18"/>
      <c r="G16" s="18"/>
      <c r="H16" s="18"/>
      <c r="I16" s="20"/>
      <c r="K16" s="21" t="s">
        <v>24</v>
      </c>
      <c r="L16" s="21"/>
      <c r="M16" s="27"/>
      <c r="N16" s="22" t="n">
        <v>0.00012</v>
      </c>
      <c r="O16" s="22" t="str">
        <f aca="false">IF(I15="","",I15+N16)</f>
        <v/>
      </c>
      <c r="P16" s="44" t="str">
        <f aca="false">IF(C15=0,"",C15)</f>
        <v/>
      </c>
      <c r="Q16" s="45" t="n">
        <f aca="false">I15</f>
        <v>0</v>
      </c>
    </row>
    <row r="17" customFormat="false" ht="14.25" hidden="false" customHeight="true" outlineLevel="0" collapsed="false">
      <c r="B17" s="16" t="str">
        <f aca="false">I17</f>
        <v/>
      </c>
      <c r="C17" s="11"/>
      <c r="D17" s="11"/>
      <c r="E17" s="18"/>
      <c r="F17" s="18"/>
      <c r="G17" s="18"/>
      <c r="H17" s="18"/>
      <c r="I17" s="20" t="str">
        <f aca="false">IF(ISERROR(VLOOKUP(E17,$K$10:$L$14,2,FALSE())*VLOOKUP(G17,$K$18:$L$22,2,FALSE())*VLOOKUP(H17,$K$26:$L$30,2,FALSE())),"",VLOOKUP(E17,$K$10:$L$14,2,FALSE())*VLOOKUP(G17,$K$18:$L$22,2,FALSE())*VLOOKUP(H17,$K$26:$L$30,2,FALSE()))</f>
        <v/>
      </c>
      <c r="K17" s="24"/>
      <c r="L17" s="21"/>
      <c r="M17" s="27"/>
      <c r="N17" s="22" t="n">
        <v>0.00011</v>
      </c>
      <c r="O17" s="22" t="str">
        <f aca="false">IF(I16="","",I16+N17)</f>
        <v/>
      </c>
      <c r="P17" s="44" t="str">
        <f aca="false">IF(C16=0,"",C16)</f>
        <v/>
      </c>
      <c r="Q17" s="45" t="n">
        <f aca="false">I16</f>
        <v>0</v>
      </c>
    </row>
    <row r="18" customFormat="false" ht="14.25" hidden="false" customHeight="true" outlineLevel="0" collapsed="false">
      <c r="B18" s="16" t="str">
        <f aca="false">I18</f>
        <v/>
      </c>
      <c r="C18" s="11"/>
      <c r="D18" s="11"/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21" t="s">
        <v>51</v>
      </c>
      <c r="L18" s="24" t="n">
        <v>5</v>
      </c>
      <c r="M18" s="27"/>
      <c r="N18" s="22" t="n">
        <v>0.0001</v>
      </c>
      <c r="O18" s="22" t="str">
        <f aca="false">IF(I17="","",I17+N18)</f>
        <v/>
      </c>
      <c r="P18" s="44" t="str">
        <f aca="false">IF(C17=0,"",C17)</f>
        <v/>
      </c>
      <c r="Q18" s="45" t="str">
        <f aca="false">I17</f>
        <v/>
      </c>
    </row>
    <row r="19" customFormat="false" ht="14.25" hidden="false" customHeight="true" outlineLevel="0" collapsed="false">
      <c r="B19" s="16" t="str">
        <f aca="false">I19</f>
        <v/>
      </c>
      <c r="C19" s="11"/>
      <c r="D19" s="11"/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21" t="s">
        <v>35</v>
      </c>
      <c r="L19" s="24" t="n">
        <v>4</v>
      </c>
      <c r="M19" s="27"/>
      <c r="N19" s="22" t="n">
        <v>9E-005</v>
      </c>
      <c r="O19" s="22" t="str">
        <f aca="false">IF(I18="","",I18+N19)</f>
        <v/>
      </c>
      <c r="P19" s="44" t="str">
        <f aca="false">IF(C18=0,"",C18)</f>
        <v/>
      </c>
      <c r="Q19" s="45" t="str">
        <f aca="false">I18</f>
        <v/>
      </c>
    </row>
    <row r="20" customFormat="false" ht="14.25" hidden="false" customHeight="true" outlineLevel="0" collapsed="false">
      <c r="B20" s="16" t="str">
        <f aca="false">I20</f>
        <v/>
      </c>
      <c r="C20" s="11"/>
      <c r="D20" s="11"/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21" t="s">
        <v>52</v>
      </c>
      <c r="L20" s="24" t="n">
        <v>3</v>
      </c>
      <c r="M20" s="27"/>
      <c r="N20" s="22" t="n">
        <v>8E-005</v>
      </c>
      <c r="O20" s="22" t="str">
        <f aca="false">IF(I19="","",I19+N20)</f>
        <v/>
      </c>
      <c r="P20" s="44" t="str">
        <f aca="false">IF(C19=0,"",C19)</f>
        <v/>
      </c>
      <c r="Q20" s="45" t="str">
        <f aca="false">I19</f>
        <v/>
      </c>
    </row>
    <row r="21" customFormat="false" ht="14.25" hidden="false" customHeight="true" outlineLevel="0" collapsed="false">
      <c r="B21" s="16" t="str">
        <f aca="false">I21</f>
        <v/>
      </c>
      <c r="C21" s="11"/>
      <c r="D21" s="11"/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21" t="s">
        <v>53</v>
      </c>
      <c r="L21" s="24" t="n">
        <v>2</v>
      </c>
      <c r="M21" s="27"/>
      <c r="N21" s="22" t="n">
        <v>7E-005</v>
      </c>
      <c r="O21" s="22" t="str">
        <f aca="false">IF(I20="","",I20+N21)</f>
        <v/>
      </c>
      <c r="P21" s="44" t="str">
        <f aca="false">IF(C20=0,"",C20)</f>
        <v/>
      </c>
      <c r="Q21" s="45" t="str">
        <f aca="false">I20</f>
        <v/>
      </c>
    </row>
    <row r="22" customFormat="false" ht="14.25" hidden="false" customHeight="true" outlineLevel="0" collapsed="false">
      <c r="B22" s="16" t="str">
        <f aca="false">I22</f>
        <v/>
      </c>
      <c r="C22" s="11"/>
      <c r="D22" s="11"/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21" t="s">
        <v>54</v>
      </c>
      <c r="L22" s="24" t="n">
        <v>1</v>
      </c>
      <c r="M22" s="27"/>
      <c r="N22" s="22" t="n">
        <v>6E-005</v>
      </c>
      <c r="O22" s="22" t="str">
        <f aca="false">IF(I21="","",I21+N22)</f>
        <v/>
      </c>
      <c r="P22" s="44" t="str">
        <f aca="false">IF(C21=0,"",C21)</f>
        <v/>
      </c>
      <c r="Q22" s="45" t="str">
        <f aca="false">I21</f>
        <v/>
      </c>
    </row>
    <row r="23" customFormat="false" ht="14.25" hidden="false" customHeight="true" outlineLevel="0" collapsed="false">
      <c r="B23" s="16" t="str">
        <f aca="false">I23</f>
        <v/>
      </c>
      <c r="C23" s="11"/>
      <c r="D23" s="11"/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21"/>
      <c r="L23" s="21"/>
      <c r="M23" s="27"/>
      <c r="N23" s="22" t="n">
        <v>5E-005</v>
      </c>
      <c r="O23" s="22" t="str">
        <f aca="false">IF(I22="","",I22+N23)</f>
        <v/>
      </c>
      <c r="P23" s="44" t="str">
        <f aca="false">IF(C22=0,"",C22)</f>
        <v/>
      </c>
      <c r="Q23" s="45" t="str">
        <f aca="false">I22</f>
        <v/>
      </c>
    </row>
    <row r="24" customFormat="false" ht="14.25" hidden="false" customHeight="true" outlineLevel="0" collapsed="false">
      <c r="B24" s="16" t="str">
        <f aca="false">I24</f>
        <v/>
      </c>
      <c r="C24" s="11"/>
      <c r="D24" s="11"/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21" t="s">
        <v>55</v>
      </c>
      <c r="L24" s="21"/>
      <c r="M24" s="27"/>
      <c r="N24" s="22" t="n">
        <v>4E-005</v>
      </c>
      <c r="O24" s="22" t="str">
        <f aca="false">IF(I23="","",I23+N24)</f>
        <v/>
      </c>
      <c r="P24" s="44" t="str">
        <f aca="false">IF(C23=0,"",C23)</f>
        <v/>
      </c>
      <c r="Q24" s="45" t="str">
        <f aca="false">I23</f>
        <v/>
      </c>
    </row>
    <row r="25" customFormat="false" ht="14.25" hidden="false" customHeight="true" outlineLevel="0" collapsed="false">
      <c r="B25" s="16" t="str">
        <f aca="false">I25</f>
        <v/>
      </c>
      <c r="C25" s="11"/>
      <c r="D25" s="11"/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24"/>
      <c r="L25" s="21"/>
      <c r="M25" s="27"/>
      <c r="N25" s="22" t="n">
        <v>3E-005</v>
      </c>
      <c r="O25" s="22" t="str">
        <f aca="false">IF(I24="","",I24+N25)</f>
        <v/>
      </c>
      <c r="P25" s="44" t="str">
        <f aca="false">IF(C24=0,"",C24)</f>
        <v/>
      </c>
      <c r="Q25" s="45" t="str">
        <f aca="false">I24</f>
        <v/>
      </c>
    </row>
    <row r="26" customFormat="false" ht="14.25" hidden="false" customHeight="true" outlineLevel="0" collapsed="false">
      <c r="B26" s="16" t="str">
        <f aca="false">I26</f>
        <v/>
      </c>
      <c r="C26" s="11"/>
      <c r="D26" s="11"/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21" t="s">
        <v>56</v>
      </c>
      <c r="L26" s="24" t="n">
        <v>5</v>
      </c>
      <c r="M26" s="27"/>
      <c r="N26" s="22" t="n">
        <v>2E-005</v>
      </c>
      <c r="O26" s="22" t="str">
        <f aca="false">IF(I25="","",I25+N26)</f>
        <v/>
      </c>
      <c r="P26" s="44" t="str">
        <f aca="false">IF(C25=0,"",C25)</f>
        <v/>
      </c>
      <c r="Q26" s="45" t="str">
        <f aca="false">I25</f>
        <v/>
      </c>
    </row>
    <row r="27" customFormat="false" ht="14.25" hidden="false" customHeight="true" outlineLevel="0" collapsed="false">
      <c r="B27" s="16" t="str">
        <f aca="false">I27</f>
        <v/>
      </c>
      <c r="C27" s="11"/>
      <c r="D27" s="11"/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21" t="s">
        <v>32</v>
      </c>
      <c r="L27" s="24" t="n">
        <v>4</v>
      </c>
      <c r="M27" s="27"/>
      <c r="N27" s="22" t="n">
        <v>1E-005</v>
      </c>
      <c r="O27" s="22" t="str">
        <f aca="false">IF(I26="","",I26+N27)</f>
        <v/>
      </c>
      <c r="P27" s="44" t="str">
        <f aca="false">IF(C26=0,"",C26)</f>
        <v/>
      </c>
      <c r="Q27" s="45" t="str">
        <f aca="false">I26</f>
        <v/>
      </c>
    </row>
    <row r="28" customFormat="false" ht="14.25" hidden="false" customHeight="true" outlineLevel="0" collapsed="false">
      <c r="B28" s="16" t="str">
        <f aca="false">I28</f>
        <v/>
      </c>
      <c r="C28" s="11"/>
      <c r="D28" s="11"/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21" t="s">
        <v>48</v>
      </c>
      <c r="L28" s="24" t="n">
        <v>3</v>
      </c>
      <c r="M28" s="27"/>
      <c r="N28" s="22"/>
      <c r="O28" s="22" t="str">
        <f aca="false">IF(I27="","",I27+N28)</f>
        <v/>
      </c>
      <c r="P28" s="44" t="str">
        <f aca="false">IF(C27=0,"",C27)</f>
        <v/>
      </c>
      <c r="Q28" s="45" t="str">
        <f aca="false">I27</f>
        <v/>
      </c>
    </row>
    <row r="29" customFormat="false" ht="14.25" hidden="false" customHeight="true" outlineLevel="0" collapsed="false">
      <c r="B29" s="16" t="str">
        <f aca="false">I29</f>
        <v/>
      </c>
      <c r="C29" s="11"/>
      <c r="D29" s="11"/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21" t="s">
        <v>57</v>
      </c>
      <c r="L29" s="24" t="n">
        <v>2</v>
      </c>
      <c r="M29" s="27"/>
      <c r="N29" s="22"/>
      <c r="O29" s="22" t="str">
        <f aca="false">IF(I28="","",I28+N29)</f>
        <v/>
      </c>
      <c r="P29" s="44" t="str">
        <f aca="false">IF(C28=0,"",C28)</f>
        <v/>
      </c>
      <c r="Q29" s="45" t="str">
        <f aca="false">I28</f>
        <v/>
      </c>
    </row>
    <row r="30" customFormat="false" ht="14.25" hidden="false" customHeight="true" outlineLevel="0" collapsed="false">
      <c r="B30" s="16" t="str">
        <f aca="false">I30</f>
        <v/>
      </c>
      <c r="C30" s="11"/>
      <c r="D30" s="11"/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21" t="s">
        <v>58</v>
      </c>
      <c r="L30" s="24" t="n">
        <v>1</v>
      </c>
      <c r="M30" s="27"/>
      <c r="N30" s="22"/>
      <c r="O30" s="22" t="str">
        <f aca="false">IF(I29="","",I29+N30)</f>
        <v/>
      </c>
      <c r="P30" s="44" t="str">
        <f aca="false">IF(C29=0,"",C29)</f>
        <v/>
      </c>
      <c r="Q30" s="45" t="str">
        <f aca="false">I29</f>
        <v/>
      </c>
    </row>
    <row r="31" customFormat="false" ht="14.25" hidden="false" customHeight="true" outlineLevel="0" collapsed="false">
      <c r="C31" s="11" t="s">
        <v>97</v>
      </c>
      <c r="D31" s="11"/>
      <c r="E31" s="11"/>
      <c r="F31" s="11"/>
      <c r="G31" s="11"/>
      <c r="H31" s="11"/>
      <c r="I31" s="11" t="n">
        <f aca="false">SUM(I7:I30)</f>
        <v>425</v>
      </c>
      <c r="K31" s="27"/>
      <c r="L31" s="11"/>
      <c r="M31" s="11"/>
      <c r="N31" s="11"/>
      <c r="O31" s="27" t="e">
        <f aca="false">IF(#REF!="","",#REF!+N31)</f>
        <v>#REF!</v>
      </c>
      <c r="P31" s="46" t="e">
        <f aca="false">IF(#REF!=0,"",#REF!)</f>
        <v>#REF!</v>
      </c>
      <c r="Q31" s="28" t="e">
        <f aca="false">#REF!</f>
        <v>#REF!</v>
      </c>
    </row>
    <row r="32" customFormat="false" ht="14.25" hidden="false" customHeight="true" outlineLevel="0" collapsed="false">
      <c r="K32" s="21" t="s">
        <v>60</v>
      </c>
      <c r="L32" s="11"/>
      <c r="M32" s="11"/>
      <c r="N32" s="47"/>
      <c r="O32" s="21" t="n">
        <f aca="false">IF(I31="","",I31+N32)</f>
        <v>425</v>
      </c>
      <c r="P32" s="48" t="str">
        <f aca="false">IF(C31=0,"",C31)</f>
        <v>La puntuación global de los factores sociales</v>
      </c>
      <c r="Q32" s="43" t="n">
        <f aca="false">I31</f>
        <v>425</v>
      </c>
    </row>
    <row r="33" customFormat="false" ht="14.25" hidden="false" customHeight="true" outlineLevel="0" collapsed="false"/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">
    <mergeCell ref="C1:I2"/>
    <mergeCell ref="C3:I4"/>
  </mergeCells>
  <conditionalFormatting sqref="E7:F30">
    <cfRule type="containsText" priority="2" operator="containsText" aboveAverage="0" equalAverage="0" bottom="0" percent="0" rank="0" text="Poco importante" dxfId="4">
      <formula>NOT(ISERROR(SEARCH("Poco importante",E7)))</formula>
    </cfRule>
    <cfRule type="containsText" priority="3" operator="containsText" aboveAverage="0" equalAverage="0" bottom="0" percent="0" rank="0" text="Muy importante" dxfId="5">
      <formula>NOT(ISERROR(SEARCH("Muy importante",E7)))</formula>
    </cfRule>
    <cfRule type="containsText" priority="4" operator="containsText" aboveAverage="0" equalAverage="0" bottom="0" percent="0" rank="0" text="Importante" dxfId="6">
      <formula>NOT(ISERROR(SEARCH("Importante",E7)))</formula>
    </cfRule>
    <cfRule type="containsText" priority="5" operator="containsText" aboveAverage="0" equalAverage="0" bottom="0" percent="0" rank="0" text="Indiferente" dxfId="7">
      <formula>NOT(ISERROR(SEARCH("Indiferente",E7)))</formula>
    </cfRule>
    <cfRule type="containsText" priority="6" operator="containsText" aboveAverage="0" equalAverage="0" bottom="0" percent="0" rank="0" text="Sin importancia" dxfId="8">
      <formula>NOT(ISERROR(SEARCH("Sin importancia",E7)))</formula>
    </cfRule>
    <cfRule type="containsText" priority="7" operator="containsText" aboveAverage="0" equalAverage="0" bottom="0" percent="0" rank="0" text="Importante" dxfId="13">
      <formula>NOT(ISERROR(SEARCH("Importante",E7)))</formula>
    </cfRule>
  </conditionalFormatting>
  <conditionalFormatting sqref="G7:G30">
    <cfRule type="containsText" priority="8" operator="containsText" aboveAverage="0" equalAverage="0" bottom="0" percent="0" rank="0" text="Muy Fuerte" dxfId="5">
      <formula>NOT(ISERROR(SEARCH("Muy Fuerte",G7)))</formula>
    </cfRule>
    <cfRule type="containsText" priority="9" operator="containsText" aboveAverage="0" equalAverage="0" bottom="0" percent="0" rank="0" text="Muy Débil" dxfId="8">
      <formula>NOT(ISERROR(SEARCH("Muy Débil",G7)))</formula>
    </cfRule>
    <cfRule type="containsText" priority="10" operator="containsText" aboveAverage="0" equalAverage="0" bottom="0" percent="0" rank="0" text="Débil" dxfId="4">
      <formula>NOT(ISERROR(SEARCH("Débil",G7)))</formula>
    </cfRule>
    <cfRule type="containsText" priority="11" operator="containsText" aboveAverage="0" equalAverage="0" bottom="0" percent="0" rank="0" text="Promedio" dxfId="7">
      <formula>NOT(ISERROR(SEARCH("Promedio",G7)))</formula>
    </cfRule>
    <cfRule type="containsText" priority="12" operator="containsText" aboveAverage="0" equalAverage="0" bottom="0" percent="0" rank="0" text="Fuerte" dxfId="6">
      <formula>NOT(ISERROR(SEARCH("Fuerte",G7)))</formula>
    </cfRule>
    <cfRule type="containsText" priority="13" operator="containsText" aboveAverage="0" equalAverage="0" bottom="0" percent="0" rank="0" text="Muy fuerte" dxfId="5">
      <formula>NOT(ISERROR(SEARCH("Muy fuerte",G7)))</formula>
    </cfRule>
  </conditionalFormatting>
  <conditionalFormatting sqref="H7:H30">
    <cfRule type="containsText" priority="14" operator="containsText" aboveAverage="0" equalAverage="0" bottom="0" percent="0" rank="0" text="Mejora Mucho" dxfId="5">
      <formula>NOT(ISERROR(SEARCH("Mejora Mucho",H7)))</formula>
    </cfRule>
    <cfRule type="containsText" priority="15" operator="containsText" aboveAverage="0" equalAverage="0" bottom="0" percent="0" rank="0" text="Mucho Peor" dxfId="8">
      <formula>NOT(ISERROR(SEARCH("Mucho Peor",H7)))</formula>
    </cfRule>
    <cfRule type="containsText" priority="16" operator="containsText" aboveAverage="0" equalAverage="0" bottom="0" percent="0" rank="0" text="Peor" dxfId="4">
      <formula>NOT(ISERROR(SEARCH("Peor",H7)))</formula>
    </cfRule>
    <cfRule type="containsText" priority="17" operator="containsText" aboveAverage="0" equalAverage="0" bottom="0" percent="0" rank="0" text="Indiferente" dxfId="7">
      <formula>NOT(ISERROR(SEARCH("Indiferente",H7)))</formula>
    </cfRule>
    <cfRule type="containsText" priority="18" operator="containsText" aboveAverage="0" equalAverage="0" bottom="0" percent="0" rank="0" text="Mejora" dxfId="6">
      <formula>NOT(ISERROR(SEARCH("Mejora",H7)))</formula>
    </cfRule>
  </conditionalFormatting>
  <dataValidations count="4">
    <dataValidation allowBlank="true" errorStyle="stop" operator="between" showDropDown="false" showErrorMessage="true" showInputMessage="false" sqref="E7:E29 E30:F30" type="list">
      <formula1>$K$10:$K$14</formula1>
      <formula2>0</formula2>
    </dataValidation>
    <dataValidation allowBlank="true" errorStyle="stop" operator="between" showDropDown="false" showErrorMessage="true" showInputMessage="false" sqref="F7:F29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false" showOutlineSymbols="true" defaultGridColor="true" view="normal" topLeftCell="F11" colorId="64" zoomScale="100" zoomScaleNormal="100" zoomScalePageLayoutView="100" workbookViewId="0">
      <selection pane="topLeft" activeCell="T7" activeCellId="0" sqref="T7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11.44"/>
    <col collapsed="false" customWidth="true" hidden="false" outlineLevel="0" max="4" min="3" style="8" width="35.67"/>
    <col collapsed="false" customWidth="true" hidden="false" outlineLevel="0" max="9" min="5" style="8" width="15.66"/>
    <col collapsed="false" customWidth="false" hidden="false" outlineLevel="0" max="10" min="10" style="8" width="14.44"/>
    <col collapsed="false" customWidth="false" hidden="true" outlineLevel="0" max="18" min="11" style="8" width="14.44"/>
    <col collapsed="false" customWidth="false" hidden="false" outlineLevel="0" max="16384" min="19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49" t="s">
        <v>98</v>
      </c>
      <c r="D3" s="49"/>
      <c r="E3" s="49"/>
      <c r="F3" s="49"/>
      <c r="G3" s="49"/>
      <c r="H3" s="49"/>
      <c r="I3" s="49"/>
    </row>
    <row r="4" customFormat="false" ht="14.25" hidden="false" customHeight="true" outlineLevel="0" collapsed="false">
      <c r="C4" s="49"/>
      <c r="D4" s="49"/>
      <c r="E4" s="49"/>
      <c r="F4" s="49"/>
      <c r="G4" s="49"/>
      <c r="H4" s="49"/>
      <c r="I4" s="49"/>
    </row>
    <row r="5" customFormat="false" ht="14.25" hidden="false" customHeight="true" outlineLevel="0" collapsed="false"/>
    <row r="6" customFormat="false" ht="14.25" hidden="false" customHeight="true" outlineLevel="0" collapsed="false">
      <c r="C6" s="13" t="s">
        <v>99</v>
      </c>
      <c r="D6" s="14" t="s">
        <v>21</v>
      </c>
      <c r="E6" s="13" t="s">
        <v>22</v>
      </c>
      <c r="F6" s="14" t="s">
        <v>23</v>
      </c>
      <c r="G6" s="13" t="s">
        <v>24</v>
      </c>
      <c r="H6" s="14" t="s">
        <v>64</v>
      </c>
      <c r="I6" s="13" t="s">
        <v>26</v>
      </c>
    </row>
    <row r="7" customFormat="false" ht="72" hidden="false" customHeight="true" outlineLevel="0" collapsed="false">
      <c r="B7" s="50" t="n">
        <f aca="false">I7</f>
        <v>125</v>
      </c>
      <c r="C7" s="17" t="s">
        <v>100</v>
      </c>
      <c r="D7" s="17" t="s">
        <v>101</v>
      </c>
      <c r="E7" s="18" t="s">
        <v>29</v>
      </c>
      <c r="F7" s="18" t="s">
        <v>41</v>
      </c>
      <c r="G7" s="18" t="s">
        <v>31</v>
      </c>
      <c r="H7" s="18" t="s">
        <v>69</v>
      </c>
      <c r="I7" s="19" t="n">
        <f aca="false">IF(ISERROR(VLOOKUP(E7,$K$10:$L$14,2,FALSE())*VLOOKUP(G7,$K$18:$L$22,2,FALSE())*VLOOKUP(H7,$K$26:$L$30,2,FALSE())),"",VLOOKUP(E7,$K$10:$L$14,2,FALSE())*VLOOKUP(G7,$K$18:$L$22,2,FALSE())*VLOOKUP(H7,$K$26:$L$30,2,FALSE()))</f>
        <v>125</v>
      </c>
    </row>
    <row r="8" customFormat="false" ht="57" hidden="false" customHeight="true" outlineLevel="0" collapsed="false">
      <c r="B8" s="50" t="n">
        <f aca="false">I8</f>
        <v>80</v>
      </c>
      <c r="C8" s="51" t="s">
        <v>102</v>
      </c>
      <c r="D8" s="52" t="s">
        <v>103</v>
      </c>
      <c r="E8" s="18" t="s">
        <v>38</v>
      </c>
      <c r="F8" s="18" t="s">
        <v>30</v>
      </c>
      <c r="G8" s="18" t="s">
        <v>31</v>
      </c>
      <c r="H8" s="18" t="s">
        <v>32</v>
      </c>
      <c r="I8" s="20" t="n">
        <f aca="false">IF(ISERROR(VLOOKUP(E8,$K$10:$L$14,2,FALSE())*VLOOKUP(G8,$K$18:$L$22,2,FALSE())*VLOOKUP(H8,$K$26:$L$30,2,FALSE())),"",VLOOKUP(E8,$K$10:$L$14,2,FALSE())*VLOOKUP(G8,$K$18:$L$22,2,FALSE())*VLOOKUP(H8,$K$26:$L$30,2,FALSE()))</f>
        <v>80</v>
      </c>
      <c r="K8" s="21" t="s">
        <v>22</v>
      </c>
      <c r="L8" s="21"/>
      <c r="N8" s="23" t="n">
        <v>0.0002</v>
      </c>
      <c r="O8" s="23" t="n">
        <f aca="false">IF(I7="","",I7+N8)</f>
        <v>125.0002</v>
      </c>
      <c r="P8" s="23" t="str">
        <f aca="false">IF(C7=0,"",C7)</f>
        <v>Penetración de internet y smartphones en Colombia</v>
      </c>
      <c r="Q8" s="16" t="n">
        <f aca="false">I7</f>
        <v>125</v>
      </c>
    </row>
    <row r="9" customFormat="false" ht="42.75" hidden="false" customHeight="true" outlineLevel="0" collapsed="false">
      <c r="B9" s="50" t="n">
        <f aca="false">I9</f>
        <v>100</v>
      </c>
      <c r="C9" s="17" t="s">
        <v>104</v>
      </c>
      <c r="D9" s="17" t="s">
        <v>105</v>
      </c>
      <c r="E9" s="18" t="s">
        <v>29</v>
      </c>
      <c r="F9" s="18" t="s">
        <v>41</v>
      </c>
      <c r="G9" s="18" t="s">
        <v>35</v>
      </c>
      <c r="H9" s="18" t="s">
        <v>69</v>
      </c>
      <c r="I9" s="20" t="n">
        <f aca="false">IF(ISERROR(VLOOKUP(E9,$K$10:$L$14,2,FALSE())*VLOOKUP(G9,$K$18:$L$22,2,FALSE())*VLOOKUP(H9,$K$26:$L$30,2,FALSE())),"",VLOOKUP(E9,$K$10:$L$14,2,FALSE())*VLOOKUP(G9,$K$18:$L$22,2,FALSE())*VLOOKUP(H9,$K$26:$L$30,2,FALSE()))</f>
        <v>100</v>
      </c>
      <c r="K9" s="24"/>
      <c r="L9" s="21"/>
      <c r="N9" s="23" t="n">
        <v>0.00019</v>
      </c>
      <c r="O9" s="23" t="n">
        <f aca="false">IF(I8="","",I8+N9)</f>
        <v>80.00019</v>
      </c>
      <c r="P9" s="53" t="str">
        <f aca="false">IF(C8=0,"",C8)</f>
        <v>Disponibilidad de APIs de geolocalización y mapas</v>
      </c>
      <c r="Q9" s="16" t="n">
        <f aca="false">I8</f>
        <v>80</v>
      </c>
    </row>
    <row r="10" customFormat="false" ht="14.25" hidden="false" customHeight="true" outlineLevel="0" collapsed="false">
      <c r="B10" s="50" t="n">
        <f aca="false">I10</f>
        <v>100</v>
      </c>
      <c r="C10" s="51" t="s">
        <v>106</v>
      </c>
      <c r="D10" s="52" t="s">
        <v>107</v>
      </c>
      <c r="E10" s="18" t="s">
        <v>29</v>
      </c>
      <c r="F10" s="18" t="s">
        <v>30</v>
      </c>
      <c r="G10" s="18" t="s">
        <v>31</v>
      </c>
      <c r="H10" s="18" t="s">
        <v>32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100</v>
      </c>
      <c r="K10" s="21" t="s">
        <v>42</v>
      </c>
      <c r="L10" s="24" t="n">
        <v>1</v>
      </c>
      <c r="N10" s="23" t="n">
        <v>0.00018</v>
      </c>
      <c r="O10" s="23" t="n">
        <f aca="false">IF(I9="","",I9+N10)</f>
        <v>100.00018</v>
      </c>
      <c r="P10" s="23" t="str">
        <f aca="false">IF(C9=0,"",C9)</f>
        <v>Madurez de tecnologías biométricas y facial recognition</v>
      </c>
      <c r="Q10" s="16" t="n">
        <f aca="false">I9</f>
        <v>100</v>
      </c>
    </row>
    <row r="11" customFormat="false" ht="18" hidden="false" customHeight="true" outlineLevel="0" collapsed="false">
      <c r="B11" s="50" t="n">
        <f aca="false">I11</f>
        <v>0</v>
      </c>
      <c r="C11" s="54" t="s">
        <v>108</v>
      </c>
      <c r="D11" s="8" t="s">
        <v>109</v>
      </c>
      <c r="E11" s="18"/>
      <c r="F11" s="18"/>
      <c r="G11" s="18"/>
      <c r="H11" s="18"/>
      <c r="I11" s="20"/>
      <c r="K11" s="21" t="s">
        <v>45</v>
      </c>
      <c r="L11" s="24" t="n">
        <v>2</v>
      </c>
      <c r="N11" s="23" t="n">
        <v>0.00017</v>
      </c>
      <c r="O11" s="23" t="n">
        <f aca="false">IF(I10="","",I10+N11)</f>
        <v>100.00017</v>
      </c>
      <c r="P11" s="53" t="str">
        <f aca="false">IF(C10=0,"",C10)</f>
        <v>Infraestructura cloud y hosting colombiano</v>
      </c>
      <c r="Q11" s="16" t="n">
        <f aca="false">I10</f>
        <v>100</v>
      </c>
    </row>
    <row r="12" customFormat="false" ht="19.5" hidden="false" customHeight="true" outlineLevel="0" collapsed="false">
      <c r="B12" s="55" t="n">
        <f aca="false">I12</f>
        <v>0</v>
      </c>
      <c r="C12" s="56" t="s">
        <v>110</v>
      </c>
      <c r="D12" s="52" t="s">
        <v>111</v>
      </c>
      <c r="E12" s="18"/>
      <c r="F12" s="18"/>
      <c r="G12" s="18"/>
      <c r="H12" s="18"/>
      <c r="I12" s="20"/>
      <c r="K12" s="21" t="s">
        <v>48</v>
      </c>
      <c r="L12" s="24" t="n">
        <v>3</v>
      </c>
      <c r="N12" s="23" t="n">
        <v>0.00016</v>
      </c>
      <c r="O12" s="23" t="str">
        <f aca="false">IF(I11="","",I11+N12)</f>
        <v/>
      </c>
      <c r="P12" s="23" t="str">
        <f aca="false">IF(C11=0,"",C11)</f>
        <v>T1</v>
      </c>
      <c r="Q12" s="16" t="n">
        <f aca="false">I11</f>
        <v>0</v>
      </c>
    </row>
    <row r="13" customFormat="false" ht="14.25" hidden="false" customHeight="true" outlineLevel="0" collapsed="false">
      <c r="B13" s="55" t="n">
        <f aca="false">I13</f>
        <v>0</v>
      </c>
      <c r="C13" s="39" t="s">
        <v>112</v>
      </c>
      <c r="D13" s="8" t="s">
        <v>113</v>
      </c>
      <c r="E13" s="18"/>
      <c r="F13" s="18"/>
      <c r="G13" s="18"/>
      <c r="H13" s="18"/>
      <c r="I13" s="20"/>
      <c r="K13" s="21" t="s">
        <v>38</v>
      </c>
      <c r="L13" s="24" t="n">
        <v>4</v>
      </c>
      <c r="N13" s="23" t="n">
        <v>0.00015</v>
      </c>
      <c r="O13" s="23" t="str">
        <f aca="false">IF(I12="","",I12+N13)</f>
        <v/>
      </c>
      <c r="P13" s="53" t="str">
        <f aca="false">IF(C12=0,"",C12)</f>
        <v>T2</v>
      </c>
      <c r="Q13" s="16" t="n">
        <f aca="false">I12</f>
        <v>0</v>
      </c>
    </row>
    <row r="14" customFormat="false" ht="14.25" hidden="false" customHeight="true" outlineLevel="0" collapsed="false">
      <c r="B14" s="55" t="n">
        <f aca="false">I14</f>
        <v>0</v>
      </c>
      <c r="C14" s="51"/>
      <c r="D14" s="52"/>
      <c r="E14" s="18"/>
      <c r="F14" s="18"/>
      <c r="G14" s="18"/>
      <c r="H14" s="18"/>
      <c r="I14" s="20"/>
      <c r="K14" s="21" t="s">
        <v>29</v>
      </c>
      <c r="L14" s="24" t="n">
        <v>5</v>
      </c>
      <c r="N14" s="23" t="n">
        <v>0.00014</v>
      </c>
      <c r="O14" s="23" t="str">
        <f aca="false">IF(I13="","",I13+N14)</f>
        <v/>
      </c>
      <c r="P14" s="23" t="str">
        <f aca="false">IF(C13=0,"",C13)</f>
        <v>T3</v>
      </c>
      <c r="Q14" s="16" t="n">
        <f aca="false">I13</f>
        <v>0</v>
      </c>
    </row>
    <row r="15" customFormat="false" ht="14.25" hidden="false" customHeight="true" outlineLevel="0" collapsed="false">
      <c r="B15" s="55" t="n">
        <f aca="false">I15</f>
        <v>0</v>
      </c>
      <c r="E15" s="18"/>
      <c r="F15" s="18"/>
      <c r="G15" s="18"/>
      <c r="H15" s="18"/>
      <c r="I15" s="20"/>
      <c r="K15" s="21"/>
      <c r="L15" s="21"/>
      <c r="N15" s="23" t="n">
        <v>0.00013</v>
      </c>
      <c r="O15" s="23" t="str">
        <f aca="false">IF(I14="","",I14+N15)</f>
        <v/>
      </c>
      <c r="P15" s="53" t="str">
        <f aca="false">IF(C14=0,"",C14)</f>
        <v/>
      </c>
      <c r="Q15" s="16" t="n">
        <f aca="false">I14</f>
        <v>0</v>
      </c>
    </row>
    <row r="16" customFormat="false" ht="14.25" hidden="false" customHeight="true" outlineLevel="0" collapsed="false">
      <c r="B16" s="55" t="str">
        <f aca="false">I16</f>
        <v/>
      </c>
      <c r="E16" s="18"/>
      <c r="F16" s="18"/>
      <c r="G16" s="18"/>
      <c r="H16" s="18"/>
      <c r="I16" s="20" t="str">
        <f aca="false">IF(ISERROR(VLOOKUP(E16,$K$10:$L$14,2,FALSE())*VLOOKUP(G16,$K$18:$L$22,2,FALSE())*VLOOKUP(H16,$K$26:$L$30,2,FALSE())),"",VLOOKUP(E16,$K$10:$L$14,2,FALSE())*VLOOKUP(G16,$K$18:$L$22,2,FALSE())*VLOOKUP(H16,$K$26:$L$30,2,FALSE()))</f>
        <v/>
      </c>
      <c r="K16" s="21" t="s">
        <v>24</v>
      </c>
      <c r="L16" s="21"/>
      <c r="N16" s="23" t="n">
        <v>0.00012</v>
      </c>
      <c r="O16" s="23" t="str">
        <f aca="false">IF(I15="","",I15+N16)</f>
        <v/>
      </c>
      <c r="P16" s="23" t="str">
        <f aca="false">IF(C15=0,"",C15)</f>
        <v/>
      </c>
      <c r="Q16" s="16" t="n">
        <f aca="false">I15</f>
        <v>0</v>
      </c>
    </row>
    <row r="17" customFormat="false" ht="14.25" hidden="false" customHeight="true" outlineLevel="0" collapsed="false">
      <c r="B17" s="55" t="str">
        <f aca="false">I17</f>
        <v/>
      </c>
      <c r="E17" s="18"/>
      <c r="F17" s="18"/>
      <c r="G17" s="18"/>
      <c r="H17" s="18"/>
      <c r="I17" s="20" t="str">
        <f aca="false">IF(ISERROR(VLOOKUP(E17,$K$10:$L$14,2,FALSE())*VLOOKUP(G17,$K$18:$L$22,2,FALSE())*VLOOKUP(H17,$K$26:$L$30,2,FALSE())),"",VLOOKUP(E17,$K$10:$L$14,2,FALSE())*VLOOKUP(G17,$K$18:$L$22,2,FALSE())*VLOOKUP(H17,$K$26:$L$30,2,FALSE()))</f>
        <v/>
      </c>
      <c r="K17" s="24"/>
      <c r="L17" s="21"/>
      <c r="N17" s="23" t="n">
        <v>0.00011</v>
      </c>
      <c r="O17" s="23" t="str">
        <f aca="false">IF(I16="","",I16+N17)</f>
        <v/>
      </c>
      <c r="P17" s="23" t="str">
        <f aca="false">IF(C16=0,"",C16)</f>
        <v/>
      </c>
      <c r="Q17" s="16" t="str">
        <f aca="false">I16</f>
        <v/>
      </c>
    </row>
    <row r="18" customFormat="false" ht="14.25" hidden="false" customHeight="true" outlineLevel="0" collapsed="false">
      <c r="B18" s="55" t="str">
        <f aca="false">I18</f>
        <v/>
      </c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21" t="s">
        <v>51</v>
      </c>
      <c r="L18" s="24" t="n">
        <v>5</v>
      </c>
      <c r="N18" s="23" t="n">
        <v>0.0001</v>
      </c>
      <c r="O18" s="23" t="str">
        <f aca="false">IF(I17="","",I17+N18)</f>
        <v/>
      </c>
      <c r="P18" s="23" t="str">
        <f aca="false">IF(C17=0,"",C17)</f>
        <v/>
      </c>
      <c r="Q18" s="16" t="str">
        <f aca="false">I17</f>
        <v/>
      </c>
    </row>
    <row r="19" customFormat="false" ht="14.25" hidden="false" customHeight="true" outlineLevel="0" collapsed="false">
      <c r="B19" s="55" t="str">
        <f aca="false">I19</f>
        <v/>
      </c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21" t="s">
        <v>35</v>
      </c>
      <c r="L19" s="24" t="n">
        <v>4</v>
      </c>
      <c r="N19" s="23" t="n">
        <v>9E-005</v>
      </c>
      <c r="O19" s="23" t="str">
        <f aca="false">IF(I18="","",I18+N19)</f>
        <v/>
      </c>
      <c r="P19" s="23" t="str">
        <f aca="false">IF(C18=0,"",C18)</f>
        <v/>
      </c>
      <c r="Q19" s="16" t="str">
        <f aca="false">I18</f>
        <v/>
      </c>
    </row>
    <row r="20" customFormat="false" ht="14.25" hidden="false" customHeight="true" outlineLevel="0" collapsed="false">
      <c r="B20" s="55" t="str">
        <f aca="false">I20</f>
        <v/>
      </c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21" t="s">
        <v>52</v>
      </c>
      <c r="L20" s="24" t="n">
        <v>3</v>
      </c>
      <c r="N20" s="23" t="n">
        <v>8E-005</v>
      </c>
      <c r="O20" s="23" t="str">
        <f aca="false">IF(I19="","",I19+N20)</f>
        <v/>
      </c>
      <c r="P20" s="23" t="str">
        <f aca="false">IF(C19=0,"",C19)</f>
        <v/>
      </c>
      <c r="Q20" s="16" t="str">
        <f aca="false">I19</f>
        <v/>
      </c>
    </row>
    <row r="21" customFormat="false" ht="14.25" hidden="false" customHeight="true" outlineLevel="0" collapsed="false">
      <c r="B21" s="55" t="str">
        <f aca="false">I21</f>
        <v/>
      </c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21" t="s">
        <v>53</v>
      </c>
      <c r="L21" s="24" t="n">
        <v>2</v>
      </c>
      <c r="N21" s="23" t="n">
        <v>7E-005</v>
      </c>
      <c r="O21" s="23" t="str">
        <f aca="false">IF(I20="","",I20+N21)</f>
        <v/>
      </c>
      <c r="P21" s="23" t="str">
        <f aca="false">IF(C20=0,"",C20)</f>
        <v/>
      </c>
      <c r="Q21" s="16" t="str">
        <f aca="false">I20</f>
        <v/>
      </c>
    </row>
    <row r="22" customFormat="false" ht="14.25" hidden="false" customHeight="true" outlineLevel="0" collapsed="false">
      <c r="B22" s="55" t="str">
        <f aca="false">I22</f>
        <v/>
      </c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21" t="s">
        <v>54</v>
      </c>
      <c r="L22" s="24" t="n">
        <v>1</v>
      </c>
      <c r="N22" s="23" t="n">
        <v>6E-005</v>
      </c>
      <c r="O22" s="23" t="str">
        <f aca="false">IF(I21="","",I21+N22)</f>
        <v/>
      </c>
      <c r="P22" s="23" t="str">
        <f aca="false">IF(C21=0,"",C21)</f>
        <v/>
      </c>
      <c r="Q22" s="16" t="str">
        <f aca="false">I21</f>
        <v/>
      </c>
    </row>
    <row r="23" customFormat="false" ht="14.25" hidden="false" customHeight="true" outlineLevel="0" collapsed="false">
      <c r="B23" s="55" t="str">
        <f aca="false">I23</f>
        <v/>
      </c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21"/>
      <c r="L23" s="21"/>
      <c r="N23" s="23" t="n">
        <v>5E-005</v>
      </c>
      <c r="O23" s="23" t="str">
        <f aca="false">IF(I22="","",I22+N23)</f>
        <v/>
      </c>
      <c r="P23" s="23" t="str">
        <f aca="false">IF(C22=0,"",C22)</f>
        <v/>
      </c>
      <c r="Q23" s="16" t="str">
        <f aca="false">I22</f>
        <v/>
      </c>
    </row>
    <row r="24" customFormat="false" ht="14.25" hidden="false" customHeight="true" outlineLevel="0" collapsed="false">
      <c r="B24" s="55" t="str">
        <f aca="false">I24</f>
        <v/>
      </c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21" t="s">
        <v>55</v>
      </c>
      <c r="L24" s="21"/>
      <c r="N24" s="23" t="n">
        <v>4E-005</v>
      </c>
      <c r="O24" s="23" t="str">
        <f aca="false">IF(I23="","",I23+N24)</f>
        <v/>
      </c>
      <c r="P24" s="23" t="str">
        <f aca="false">IF(C23=0,"",C23)</f>
        <v/>
      </c>
      <c r="Q24" s="16" t="str">
        <f aca="false">I23</f>
        <v/>
      </c>
    </row>
    <row r="25" customFormat="false" ht="14.25" hidden="false" customHeight="true" outlineLevel="0" collapsed="false">
      <c r="B25" s="55" t="str">
        <f aca="false">I25</f>
        <v/>
      </c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24"/>
      <c r="L25" s="21"/>
      <c r="N25" s="23" t="n">
        <v>3E-005</v>
      </c>
      <c r="O25" s="23" t="str">
        <f aca="false">IF(I24="","",I24+N25)</f>
        <v/>
      </c>
      <c r="P25" s="23" t="str">
        <f aca="false">IF(C24=0,"",C24)</f>
        <v/>
      </c>
      <c r="Q25" s="16" t="str">
        <f aca="false">I24</f>
        <v/>
      </c>
    </row>
    <row r="26" customFormat="false" ht="14.25" hidden="false" customHeight="true" outlineLevel="0" collapsed="false">
      <c r="B26" s="55" t="str">
        <f aca="false">I26</f>
        <v/>
      </c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21" t="s">
        <v>56</v>
      </c>
      <c r="L26" s="24" t="n">
        <v>5</v>
      </c>
      <c r="N26" s="23" t="n">
        <v>2E-005</v>
      </c>
      <c r="O26" s="23" t="str">
        <f aca="false">IF(I25="","",I25+N26)</f>
        <v/>
      </c>
      <c r="P26" s="23" t="str">
        <f aca="false">IF(C25=0,"",C25)</f>
        <v/>
      </c>
      <c r="Q26" s="16" t="str">
        <f aca="false">I25</f>
        <v/>
      </c>
    </row>
    <row r="27" customFormat="false" ht="14.25" hidden="false" customHeight="true" outlineLevel="0" collapsed="false">
      <c r="B27" s="55" t="str">
        <f aca="false">I27</f>
        <v/>
      </c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21" t="s">
        <v>32</v>
      </c>
      <c r="L27" s="24" t="n">
        <v>4</v>
      </c>
      <c r="N27" s="23" t="n">
        <v>1E-005</v>
      </c>
      <c r="O27" s="23" t="str">
        <f aca="false">IF(I26="","",I26+N27)</f>
        <v/>
      </c>
      <c r="P27" s="23" t="str">
        <f aca="false">IF(C26=0,"",C26)</f>
        <v/>
      </c>
      <c r="Q27" s="16" t="str">
        <f aca="false">I26</f>
        <v/>
      </c>
    </row>
    <row r="28" customFormat="false" ht="14.25" hidden="false" customHeight="true" outlineLevel="0" collapsed="false">
      <c r="B28" s="55" t="str">
        <f aca="false">I28</f>
        <v/>
      </c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21" t="s">
        <v>48</v>
      </c>
      <c r="L28" s="24" t="n">
        <v>3</v>
      </c>
      <c r="N28" s="41"/>
      <c r="O28" s="41"/>
      <c r="P28" s="41"/>
      <c r="Q28" s="41"/>
    </row>
    <row r="29" customFormat="false" ht="14.25" hidden="false" customHeight="true" outlineLevel="0" collapsed="false">
      <c r="B29" s="55" t="str">
        <f aca="false">I29</f>
        <v/>
      </c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21" t="s">
        <v>57</v>
      </c>
      <c r="L29" s="24" t="n">
        <v>2</v>
      </c>
      <c r="N29" s="41"/>
      <c r="O29" s="41"/>
      <c r="P29" s="41"/>
      <c r="Q29" s="41"/>
    </row>
    <row r="30" customFormat="false" ht="14.25" hidden="false" customHeight="true" outlineLevel="0" collapsed="false">
      <c r="B30" s="55" t="str">
        <f aca="false">I30</f>
        <v/>
      </c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21" t="s">
        <v>58</v>
      </c>
      <c r="L30" s="24" t="n">
        <v>1</v>
      </c>
      <c r="N30" s="41"/>
      <c r="O30" s="41"/>
      <c r="P30" s="41"/>
      <c r="Q30" s="41"/>
    </row>
    <row r="31" customFormat="false" ht="14.25" hidden="false" customHeight="true" outlineLevel="0" collapsed="false">
      <c r="C31" s="8" t="s">
        <v>114</v>
      </c>
      <c r="I31" s="8" t="n">
        <f aca="false">SUM(I7:I30)</f>
        <v>405</v>
      </c>
    </row>
    <row r="32" customFormat="false" ht="14.25" hidden="false" customHeight="true" outlineLevel="0" collapsed="false">
      <c r="K32" s="21" t="s">
        <v>60</v>
      </c>
      <c r="N32" s="42"/>
      <c r="O32" s="21" t="n">
        <f aca="false">IF(I31="","",I31+N32)</f>
        <v>405</v>
      </c>
      <c r="P32" s="21" t="str">
        <f aca="false">IF(C31=0,"",C31)</f>
        <v>La puntuación global de los factores tecnológicos</v>
      </c>
      <c r="Q32" s="43" t="n">
        <f aca="false">I31</f>
        <v>405</v>
      </c>
    </row>
    <row r="33" customFormat="false" ht="14.25" hidden="false" customHeight="true" outlineLevel="0" collapsed="false"/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">
    <mergeCell ref="C1:I2"/>
    <mergeCell ref="C3:I4"/>
  </mergeCells>
  <conditionalFormatting sqref="H7:H30">
    <cfRule type="containsText" priority="2" operator="containsText" aboveAverage="0" equalAverage="0" bottom="0" percent="0" rank="0" text="Mejora Mucho" dxfId="5">
      <formula>NOT(ISERROR(SEARCH("Mejora Mucho",H7)))</formula>
    </cfRule>
    <cfRule type="containsText" priority="3" operator="containsText" aboveAverage="0" equalAverage="0" bottom="0" percent="0" rank="0" text="Mucho Peor" dxfId="8">
      <formula>NOT(ISERROR(SEARCH("Mucho Peor",H7)))</formula>
    </cfRule>
    <cfRule type="containsText" priority="4" operator="containsText" aboveAverage="0" equalAverage="0" bottom="0" percent="0" rank="0" text="Peor" dxfId="4">
      <formula>NOT(ISERROR(SEARCH("Peor",H7)))</formula>
    </cfRule>
    <cfRule type="containsText" priority="5" operator="containsText" aboveAverage="0" equalAverage="0" bottom="0" percent="0" rank="0" text="Indiferente" dxfId="7">
      <formula>NOT(ISERROR(SEARCH("Indiferente",H7)))</formula>
    </cfRule>
    <cfRule type="containsText" priority="6" operator="containsText" aboveAverage="0" equalAverage="0" bottom="0" percent="0" rank="0" text="Mejora" dxfId="6">
      <formula>NOT(ISERROR(SEARCH("Mejora",H7)))</formula>
    </cfRule>
  </conditionalFormatting>
  <conditionalFormatting sqref="E7:F30">
    <cfRule type="containsText" priority="7" operator="containsText" aboveAverage="0" equalAverage="0" bottom="0" percent="0" rank="0" text="Poco importante" dxfId="4">
      <formula>NOT(ISERROR(SEARCH("Poco importante",E7)))</formula>
    </cfRule>
    <cfRule type="containsText" priority="8" operator="containsText" aboveAverage="0" equalAverage="0" bottom="0" percent="0" rank="0" text="Muy importante" dxfId="5">
      <formula>NOT(ISERROR(SEARCH("Muy importante",E7)))</formula>
    </cfRule>
    <cfRule type="containsText" priority="9" operator="containsText" aboveAverage="0" equalAverage="0" bottom="0" percent="0" rank="0" text="Importante" dxfId="6">
      <formula>NOT(ISERROR(SEARCH("Importante",E7)))</formula>
    </cfRule>
    <cfRule type="containsText" priority="10" operator="containsText" aboveAverage="0" equalAverage="0" bottom="0" percent="0" rank="0" text="Indiferente" dxfId="7">
      <formula>NOT(ISERROR(SEARCH("Indiferente",E7)))</formula>
    </cfRule>
    <cfRule type="containsText" priority="11" operator="containsText" aboveAverage="0" equalAverage="0" bottom="0" percent="0" rank="0" text="Sin importancia" dxfId="8">
      <formula>NOT(ISERROR(SEARCH("Sin importancia",E7)))</formula>
    </cfRule>
  </conditionalFormatting>
  <conditionalFormatting sqref="G7:G30">
    <cfRule type="containsText" priority="12" operator="containsText" aboveAverage="0" equalAverage="0" bottom="0" percent="0" rank="0" text="Muy Fuerte" dxfId="5">
      <formula>NOT(ISERROR(SEARCH("Muy Fuerte",G7)))</formula>
    </cfRule>
    <cfRule type="containsText" priority="13" operator="containsText" aboveAverage="0" equalAverage="0" bottom="0" percent="0" rank="0" text="Muy Débil" dxfId="8">
      <formula>NOT(ISERROR(SEARCH("Muy Débil",G7)))</formula>
    </cfRule>
    <cfRule type="containsText" priority="14" operator="containsText" aboveAverage="0" equalAverage="0" bottom="0" percent="0" rank="0" text="Débil" dxfId="4">
      <formula>NOT(ISERROR(SEARCH("Débil",G7)))</formula>
    </cfRule>
    <cfRule type="containsText" priority="15" operator="containsText" aboveAverage="0" equalAverage="0" bottom="0" percent="0" rank="0" text="Promedio" dxfId="7">
      <formula>NOT(ISERROR(SEARCH("Promedio",G7)))</formula>
    </cfRule>
    <cfRule type="containsText" priority="16" operator="containsText" aboveAverage="0" equalAverage="0" bottom="0" percent="0" rank="0" text="Fuerte" dxfId="6">
      <formula>NOT(ISERROR(SEARCH("Fuerte",G7)))</formula>
    </cfRule>
    <cfRule type="containsText" priority="17" operator="containsText" aboveAverage="0" equalAverage="0" bottom="0" percent="0" rank="0" text="Muy fuerte" dxfId="5">
      <formula>NOT(ISERROR(SEARCH("Muy fuerte",G7)))</formula>
    </cfRule>
  </conditionalFormatting>
  <dataValidations count="4">
    <dataValidation allowBlank="true" errorStyle="stop" operator="between" showDropDown="false" showErrorMessage="true" showInputMessage="false" sqref="E7:E30" type="list">
      <formula1>$K$10:$K$14</formula1>
      <formula2>0</formula2>
    </dataValidation>
    <dataValidation allowBlank="true" errorStyle="stop" operator="between" showDropDown="false" showErrorMessage="true" showInputMessage="false" sqref="F7:F30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false" showOutlineSymbols="true" defaultGridColor="true" view="normal" topLeftCell="H7" colorId="64" zoomScale="100" zoomScaleNormal="100" zoomScalePageLayoutView="100" workbookViewId="0">
      <selection pane="topLeft" activeCell="T8" activeCellId="0" sqref="T8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8.44"/>
    <col collapsed="false" customWidth="true" hidden="false" outlineLevel="0" max="4" min="3" style="8" width="35.67"/>
    <col collapsed="false" customWidth="true" hidden="false" outlineLevel="0" max="9" min="5" style="8" width="15.66"/>
    <col collapsed="false" customWidth="false" hidden="false" outlineLevel="0" max="10" min="10" style="8" width="14.44"/>
    <col collapsed="false" customWidth="false" hidden="true" outlineLevel="0" max="17" min="11" style="8" width="14.44"/>
    <col collapsed="false" customWidth="false" hidden="false" outlineLevel="0" max="16384" min="18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10" t="s">
        <v>115</v>
      </c>
      <c r="D3" s="10"/>
      <c r="E3" s="10"/>
      <c r="F3" s="10"/>
      <c r="G3" s="10"/>
      <c r="H3" s="10"/>
      <c r="I3" s="10"/>
    </row>
    <row r="4" customFormat="false" ht="14.25" hidden="false" customHeight="true" outlineLevel="0" collapsed="false">
      <c r="C4" s="10"/>
      <c r="D4" s="10"/>
      <c r="E4" s="10"/>
      <c r="F4" s="10"/>
      <c r="G4" s="10"/>
      <c r="H4" s="10"/>
      <c r="I4" s="10"/>
    </row>
    <row r="5" customFormat="false" ht="14.25" hidden="false" customHeight="true" outlineLevel="0" collapsed="false"/>
    <row r="6" customFormat="false" ht="14.25" hidden="false" customHeight="true" outlineLevel="0" collapsed="false">
      <c r="C6" s="15" t="s">
        <v>116</v>
      </c>
      <c r="D6" s="12" t="s">
        <v>21</v>
      </c>
      <c r="E6" s="15" t="s">
        <v>22</v>
      </c>
      <c r="F6" s="12" t="s">
        <v>23</v>
      </c>
      <c r="G6" s="15" t="s">
        <v>24</v>
      </c>
      <c r="H6" s="12" t="s">
        <v>64</v>
      </c>
      <c r="I6" s="15" t="s">
        <v>26</v>
      </c>
    </row>
    <row r="7" s="17" customFormat="true" ht="57" hidden="false" customHeight="true" outlineLevel="0" collapsed="false">
      <c r="B7" s="57" t="n">
        <f aca="false">I7</f>
        <v>16</v>
      </c>
      <c r="C7" s="58" t="s">
        <v>117</v>
      </c>
      <c r="D7" s="58" t="s">
        <v>118</v>
      </c>
      <c r="E7" s="59" t="s">
        <v>45</v>
      </c>
      <c r="F7" s="59" t="s">
        <v>30</v>
      </c>
      <c r="G7" s="59" t="s">
        <v>53</v>
      </c>
      <c r="H7" s="59" t="s">
        <v>32</v>
      </c>
      <c r="I7" s="60" t="n">
        <f aca="false">IF(ISERROR(VLOOKUP(E7,$K$10:$L$14,2,FALSE())*VLOOKUP(G7,$K$18:$L$22,2,FALSE())*VLOOKUP(H7,$K$26:$L$30,2,FALSE())),"",VLOOKUP(E7,$K$10:$L$14,2,FALSE())*VLOOKUP(G7,$K$18:$L$22,2,FALSE())*VLOOKUP(H7,$K$26:$L$30,2,FALSE()))</f>
        <v>16</v>
      </c>
    </row>
    <row r="8" customFormat="false" ht="57" hidden="false" customHeight="true" outlineLevel="0" collapsed="false">
      <c r="B8" s="50" t="n">
        <f aca="false">I8</f>
        <v>16</v>
      </c>
      <c r="C8" s="61" t="s">
        <v>119</v>
      </c>
      <c r="D8" s="52" t="s">
        <v>120</v>
      </c>
      <c r="E8" s="18" t="s">
        <v>45</v>
      </c>
      <c r="F8" s="18" t="s">
        <v>41</v>
      </c>
      <c r="G8" s="18" t="s">
        <v>53</v>
      </c>
      <c r="H8" s="18" t="s">
        <v>32</v>
      </c>
      <c r="I8" s="20" t="n">
        <f aca="false">IF(ISERROR(VLOOKUP(E8,$K$10:$L$14,2,FALSE())*VLOOKUP(G8,$K$18:$L$22,2,FALSE())*VLOOKUP(H8,$K$26:$L$30,2,FALSE())),"",VLOOKUP(E8,$K$10:$L$14,2,FALSE())*VLOOKUP(G8,$K$18:$L$22,2,FALSE())*VLOOKUP(H8,$K$26:$L$30,2,FALSE()))</f>
        <v>16</v>
      </c>
      <c r="K8" s="30" t="s">
        <v>22</v>
      </c>
      <c r="L8" s="30"/>
      <c r="M8" s="27"/>
      <c r="N8" s="22" t="n">
        <v>0.0002</v>
      </c>
      <c r="O8" s="22" t="n">
        <f aca="false">IF(I7="","",I7+N8)</f>
        <v>16.0002</v>
      </c>
      <c r="P8" s="23" t="str">
        <f aca="false">IF(C7=0,"",C7)</f>
        <v>Sostenibilidad de eventos y movilidad urbana</v>
      </c>
      <c r="Q8" s="16" t="n">
        <f aca="false">I7</f>
        <v>16</v>
      </c>
    </row>
    <row r="9" customFormat="false" ht="42.75" hidden="false" customHeight="true" outlineLevel="0" collapsed="false">
      <c r="B9" s="50" t="n">
        <f aca="false">I9</f>
        <v>50</v>
      </c>
      <c r="C9" s="58" t="s">
        <v>121</v>
      </c>
      <c r="D9" s="58" t="s">
        <v>122</v>
      </c>
      <c r="E9" s="18" t="s">
        <v>29</v>
      </c>
      <c r="F9" s="18" t="s">
        <v>30</v>
      </c>
      <c r="G9" s="18" t="s">
        <v>51</v>
      </c>
      <c r="H9" s="18" t="s">
        <v>57</v>
      </c>
      <c r="I9" s="20" t="n">
        <f aca="false">IF(ISERROR(VLOOKUP(E9,$K$10:$L$14,2,FALSE())*VLOOKUP(G9,$K$18:$L$22,2,FALSE())*VLOOKUP(H9,$K$26:$L$30,2,FALSE())),"",VLOOKUP(E9,$K$10:$L$14,2,FALSE())*VLOOKUP(G9,$K$18:$L$22,2,FALSE())*VLOOKUP(H9,$K$26:$L$30,2,FALSE()))</f>
        <v>50</v>
      </c>
      <c r="K9" s="62"/>
      <c r="L9" s="30"/>
      <c r="M9" s="27"/>
      <c r="N9" s="22" t="n">
        <v>0.00019</v>
      </c>
      <c r="O9" s="22" t="n">
        <f aca="false">IF(I8="","",I8+N9)</f>
        <v>16.00019</v>
      </c>
      <c r="P9" s="53" t="str">
        <f aca="false">IF(C8=0,"",C8)</f>
        <v>Carbono digital y consumo energético de servidores</v>
      </c>
      <c r="Q9" s="16" t="n">
        <f aca="false">I8</f>
        <v>16</v>
      </c>
    </row>
    <row r="10" customFormat="false" ht="14.25" hidden="false" customHeight="true" outlineLevel="0" collapsed="false">
      <c r="B10" s="50" t="n">
        <f aca="false">I10</f>
        <v>50</v>
      </c>
      <c r="C10" s="61" t="s">
        <v>123</v>
      </c>
      <c r="D10" s="52" t="s">
        <v>124</v>
      </c>
      <c r="E10" s="18" t="s">
        <v>29</v>
      </c>
      <c r="F10" s="18" t="s">
        <v>30</v>
      </c>
      <c r="G10" s="18" t="s">
        <v>51</v>
      </c>
      <c r="H10" s="18" t="s">
        <v>57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50</v>
      </c>
      <c r="K10" s="30" t="s">
        <v>42</v>
      </c>
      <c r="L10" s="62" t="n">
        <v>1</v>
      </c>
      <c r="M10" s="27"/>
      <c r="N10" s="22" t="n">
        <v>0.00018</v>
      </c>
      <c r="O10" s="22" t="n">
        <f aca="false">IF(I9="","",I9+N10)</f>
        <v>50.00018</v>
      </c>
      <c r="P10" s="23" t="str">
        <f aca="false">IF(C9=0,"",C9)</f>
        <v>Amenazas por medio de la pandemia COVID 19 en el ambiente </v>
      </c>
      <c r="Q10" s="16" t="n">
        <f aca="false">I9</f>
        <v>50</v>
      </c>
    </row>
    <row r="11" customFormat="false" ht="13.5" hidden="false" customHeight="true" outlineLevel="0" collapsed="false">
      <c r="B11" s="50" t="n">
        <f aca="false">I11</f>
        <v>0</v>
      </c>
      <c r="C11" s="63" t="s">
        <v>125</v>
      </c>
      <c r="D11" s="11" t="s">
        <v>126</v>
      </c>
      <c r="E11" s="18"/>
      <c r="F11" s="18"/>
      <c r="G11" s="18"/>
      <c r="H11" s="18"/>
      <c r="I11" s="20"/>
      <c r="K11" s="30" t="s">
        <v>45</v>
      </c>
      <c r="L11" s="62" t="n">
        <v>2</v>
      </c>
      <c r="M11" s="27"/>
      <c r="N11" s="22" t="n">
        <v>0.00017</v>
      </c>
      <c r="O11" s="22" t="n">
        <f aca="false">IF(I10="","",I10+N11)</f>
        <v>50.00017</v>
      </c>
      <c r="P11" s="53" t="str">
        <f aca="false">IF(C10=0,"",C10)</f>
        <v>Riesgo sísmico y desastres naturales en Colombia</v>
      </c>
      <c r="Q11" s="16" t="n">
        <f aca="false">I10</f>
        <v>50</v>
      </c>
    </row>
    <row r="12" customFormat="false" ht="17.35" hidden="false" customHeight="false" outlineLevel="0" collapsed="false">
      <c r="B12" s="50" t="n">
        <f aca="false">I12</f>
        <v>0</v>
      </c>
      <c r="C12" s="63" t="s">
        <v>127</v>
      </c>
      <c r="D12" s="11" t="s">
        <v>128</v>
      </c>
      <c r="E12" s="18"/>
      <c r="F12" s="18"/>
      <c r="G12" s="18"/>
      <c r="H12" s="18"/>
      <c r="I12" s="20"/>
      <c r="K12" s="30" t="s">
        <v>48</v>
      </c>
      <c r="L12" s="62" t="n">
        <v>3</v>
      </c>
      <c r="M12" s="27"/>
      <c r="N12" s="22" t="n">
        <v>0.00016</v>
      </c>
      <c r="O12" s="22" t="str">
        <f aca="false">IF(I11="","",I11+N12)</f>
        <v/>
      </c>
      <c r="P12" s="23" t="str">
        <f aca="false">IF(C11=0,"",C11)</f>
        <v>EC1</v>
      </c>
      <c r="Q12" s="16" t="n">
        <f aca="false">I11</f>
        <v>0</v>
      </c>
    </row>
    <row r="13" customFormat="false" ht="14.25" hidden="false" customHeight="true" outlineLevel="0" collapsed="false">
      <c r="B13" s="50" t="str">
        <f aca="false">I13</f>
        <v/>
      </c>
      <c r="C13" s="64" t="s">
        <v>129</v>
      </c>
      <c r="D13" s="65" t="s">
        <v>130</v>
      </c>
      <c r="E13" s="18"/>
      <c r="F13" s="18"/>
      <c r="G13" s="18"/>
      <c r="H13" s="18"/>
      <c r="I13" s="20" t="str">
        <f aca="false">IF(ISERROR(VLOOKUP(E13,$K$10:$L$14,2,FALSE())*VLOOKUP(G13,$K$18:$L$22,2,FALSE())*VLOOKUP(H13,$K$26:$L$30,2,FALSE())),"",VLOOKUP(E13,$K$10:$L$14,2,FALSE())*VLOOKUP(G13,$K$18:$L$22,2,FALSE())*VLOOKUP(H13,$K$26:$L$30,2,FALSE()))</f>
        <v/>
      </c>
      <c r="K13" s="30" t="s">
        <v>38</v>
      </c>
      <c r="L13" s="62" t="n">
        <v>4</v>
      </c>
      <c r="M13" s="27"/>
      <c r="N13" s="22" t="n">
        <v>0.00015</v>
      </c>
      <c r="O13" s="22" t="str">
        <f aca="false">IF(I12="","",I12+N13)</f>
        <v/>
      </c>
      <c r="P13" s="23" t="str">
        <f aca="false">IF(C12=0,"",C12)</f>
        <v>EC2</v>
      </c>
      <c r="Q13" s="16" t="n">
        <f aca="false">I12</f>
        <v>0</v>
      </c>
    </row>
    <row r="14" customFormat="false" ht="14.25" hidden="false" customHeight="true" outlineLevel="0" collapsed="false">
      <c r="B14" s="50" t="str">
        <f aca="false">I14</f>
        <v/>
      </c>
      <c r="C14" s="11"/>
      <c r="D14" s="11"/>
      <c r="E14" s="18"/>
      <c r="F14" s="18"/>
      <c r="G14" s="18"/>
      <c r="H14" s="18"/>
      <c r="I14" s="20" t="str">
        <f aca="false">IF(ISERROR(VLOOKUP(E14,$K$10:$L$14,2,FALSE())*VLOOKUP(G14,$K$18:$L$22,2,FALSE())*VLOOKUP(H14,$K$26:$L$30,2,FALSE())),"",VLOOKUP(E14,$K$10:$L$14,2,FALSE())*VLOOKUP(G14,$K$18:$L$22,2,FALSE())*VLOOKUP(H14,$K$26:$L$30,2,FALSE()))</f>
        <v/>
      </c>
      <c r="K14" s="30" t="s">
        <v>29</v>
      </c>
      <c r="L14" s="62" t="n">
        <v>5</v>
      </c>
      <c r="M14" s="27"/>
      <c r="N14" s="22" t="n">
        <v>0.00014</v>
      </c>
      <c r="O14" s="23" t="str">
        <f aca="false">IF(I13="","",I13+N14)</f>
        <v/>
      </c>
      <c r="P14" s="23" t="str">
        <f aca="false">IF(C13=0,"",C13)</f>
        <v>EC3</v>
      </c>
      <c r="Q14" s="16" t="str">
        <f aca="false">I13</f>
        <v/>
      </c>
    </row>
    <row r="15" customFormat="false" ht="14.25" hidden="false" customHeight="true" outlineLevel="0" collapsed="false">
      <c r="B15" s="50" t="str">
        <f aca="false">I15</f>
        <v/>
      </c>
      <c r="C15" s="11"/>
      <c r="D15" s="11"/>
      <c r="E15" s="18"/>
      <c r="F15" s="18"/>
      <c r="G15" s="18"/>
      <c r="H15" s="18"/>
      <c r="I15" s="20" t="str">
        <f aca="false">IF(ISERROR(VLOOKUP(E15,$K$10:$L$14,2,FALSE())*VLOOKUP(G15,$K$18:$L$22,2,FALSE())*VLOOKUP(H15,$K$26:$L$30,2,FALSE())),"",VLOOKUP(E15,$K$10:$L$14,2,FALSE())*VLOOKUP(G15,$K$18:$L$22,2,FALSE())*VLOOKUP(H15,$K$26:$L$30,2,FALSE()))</f>
        <v/>
      </c>
      <c r="K15" s="30"/>
      <c r="L15" s="30"/>
      <c r="M15" s="27"/>
      <c r="N15" s="22" t="n">
        <v>0.00013</v>
      </c>
      <c r="O15" s="23" t="str">
        <f aca="false">IF(I14="","",I14+N15)</f>
        <v/>
      </c>
      <c r="P15" s="23" t="str">
        <f aca="false">IF(C14=0,"",C14)</f>
        <v/>
      </c>
      <c r="Q15" s="16" t="str">
        <f aca="false">I14</f>
        <v/>
      </c>
    </row>
    <row r="16" customFormat="false" ht="14.25" hidden="false" customHeight="true" outlineLevel="0" collapsed="false">
      <c r="B16" s="50" t="str">
        <f aca="false">I16</f>
        <v/>
      </c>
      <c r="C16" s="11"/>
      <c r="D16" s="11"/>
      <c r="E16" s="18"/>
      <c r="F16" s="18"/>
      <c r="G16" s="18"/>
      <c r="H16" s="18"/>
      <c r="I16" s="20" t="str">
        <f aca="false">IF(ISERROR(VLOOKUP(E16,$K$10:$L$14,2,FALSE())*VLOOKUP(G16,$K$18:$L$22,2,FALSE())*VLOOKUP(H16,$K$26:$L$30,2,FALSE())),"",VLOOKUP(E16,$K$10:$L$14,2,FALSE())*VLOOKUP(G16,$K$18:$L$22,2,FALSE())*VLOOKUP(H16,$K$26:$L$30,2,FALSE()))</f>
        <v/>
      </c>
      <c r="K16" s="30" t="s">
        <v>24</v>
      </c>
      <c r="L16" s="30"/>
      <c r="M16" s="27"/>
      <c r="N16" s="22" t="n">
        <v>0.00012</v>
      </c>
      <c r="O16" s="23" t="str">
        <f aca="false">IF(I15="","",I15+N16)</f>
        <v/>
      </c>
      <c r="P16" s="23" t="str">
        <f aca="false">IF(C15=0,"",C15)</f>
        <v/>
      </c>
      <c r="Q16" s="16" t="str">
        <f aca="false">I15</f>
        <v/>
      </c>
    </row>
    <row r="17" customFormat="false" ht="14.25" hidden="false" customHeight="true" outlineLevel="0" collapsed="false">
      <c r="B17" s="50" t="str">
        <f aca="false">I17</f>
        <v/>
      </c>
      <c r="C17" s="11"/>
      <c r="D17" s="11"/>
      <c r="E17" s="18"/>
      <c r="F17" s="18"/>
      <c r="G17" s="18"/>
      <c r="H17" s="18"/>
      <c r="I17" s="20" t="str">
        <f aca="false">IF(ISERROR(VLOOKUP(E17,$K$10:$L$14,2,FALSE())*VLOOKUP(G17,$K$18:$L$22,2,FALSE())*VLOOKUP(H17,$K$26:$L$30,2,FALSE())),"",VLOOKUP(E17,$K$10:$L$14,2,FALSE())*VLOOKUP(G17,$K$18:$L$22,2,FALSE())*VLOOKUP(H17,$K$26:$L$30,2,FALSE()))</f>
        <v/>
      </c>
      <c r="K17" s="62"/>
      <c r="L17" s="30"/>
      <c r="M17" s="27"/>
      <c r="N17" s="22" t="n">
        <v>0.00011</v>
      </c>
      <c r="O17" s="23" t="str">
        <f aca="false">IF(I16="","",I16+N17)</f>
        <v/>
      </c>
      <c r="P17" s="23" t="str">
        <f aca="false">IF(C16=0,"",C16)</f>
        <v/>
      </c>
      <c r="Q17" s="16" t="str">
        <f aca="false">I16</f>
        <v/>
      </c>
    </row>
    <row r="18" customFormat="false" ht="14.25" hidden="false" customHeight="true" outlineLevel="0" collapsed="false">
      <c r="B18" s="50" t="str">
        <f aca="false">I18</f>
        <v/>
      </c>
      <c r="C18" s="11"/>
      <c r="D18" s="11"/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30" t="s">
        <v>51</v>
      </c>
      <c r="L18" s="62" t="n">
        <v>5</v>
      </c>
      <c r="M18" s="27"/>
      <c r="N18" s="22" t="n">
        <v>0.0001</v>
      </c>
      <c r="O18" s="23" t="str">
        <f aca="false">IF(I17="","",I17+N18)</f>
        <v/>
      </c>
      <c r="P18" s="23" t="str">
        <f aca="false">IF(C17=0,"",C17)</f>
        <v/>
      </c>
      <c r="Q18" s="16" t="str">
        <f aca="false">I17</f>
        <v/>
      </c>
    </row>
    <row r="19" customFormat="false" ht="14.25" hidden="false" customHeight="true" outlineLevel="0" collapsed="false">
      <c r="B19" s="50" t="str">
        <f aca="false">I19</f>
        <v/>
      </c>
      <c r="C19" s="11"/>
      <c r="D19" s="11"/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30" t="s">
        <v>35</v>
      </c>
      <c r="L19" s="62" t="n">
        <v>4</v>
      </c>
      <c r="M19" s="27"/>
      <c r="N19" s="22" t="n">
        <v>9E-005</v>
      </c>
      <c r="O19" s="23" t="str">
        <f aca="false">IF(I18="","",I18+N19)</f>
        <v/>
      </c>
      <c r="P19" s="23" t="str">
        <f aca="false">IF(C18=0,"",C18)</f>
        <v/>
      </c>
      <c r="Q19" s="16" t="str">
        <f aca="false">I18</f>
        <v/>
      </c>
    </row>
    <row r="20" customFormat="false" ht="14.25" hidden="false" customHeight="true" outlineLevel="0" collapsed="false">
      <c r="B20" s="50" t="str">
        <f aca="false">I20</f>
        <v/>
      </c>
      <c r="C20" s="11"/>
      <c r="D20" s="11"/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30" t="s">
        <v>52</v>
      </c>
      <c r="L20" s="62" t="n">
        <v>3</v>
      </c>
      <c r="M20" s="27"/>
      <c r="N20" s="22" t="n">
        <v>8E-005</v>
      </c>
      <c r="O20" s="23" t="str">
        <f aca="false">IF(I19="","",I19+N20)</f>
        <v/>
      </c>
      <c r="P20" s="23" t="str">
        <f aca="false">IF(C19=0,"",C19)</f>
        <v/>
      </c>
      <c r="Q20" s="16" t="str">
        <f aca="false">I19</f>
        <v/>
      </c>
    </row>
    <row r="21" customFormat="false" ht="14.25" hidden="false" customHeight="true" outlineLevel="0" collapsed="false">
      <c r="B21" s="50" t="str">
        <f aca="false">I21</f>
        <v/>
      </c>
      <c r="C21" s="11"/>
      <c r="D21" s="11"/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30" t="s">
        <v>53</v>
      </c>
      <c r="L21" s="62" t="n">
        <v>2</v>
      </c>
      <c r="M21" s="27"/>
      <c r="N21" s="22" t="n">
        <v>7E-005</v>
      </c>
      <c r="O21" s="23" t="str">
        <f aca="false">IF(I20="","",I20+N21)</f>
        <v/>
      </c>
      <c r="P21" s="23" t="str">
        <f aca="false">IF(C20=0,"",C20)</f>
        <v/>
      </c>
      <c r="Q21" s="16" t="str">
        <f aca="false">I20</f>
        <v/>
      </c>
    </row>
    <row r="22" customFormat="false" ht="14.25" hidden="false" customHeight="true" outlineLevel="0" collapsed="false">
      <c r="B22" s="50" t="str">
        <f aca="false">I22</f>
        <v/>
      </c>
      <c r="C22" s="11"/>
      <c r="D22" s="11"/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30" t="s">
        <v>54</v>
      </c>
      <c r="L22" s="62" t="n">
        <v>1</v>
      </c>
      <c r="M22" s="27"/>
      <c r="N22" s="22" t="n">
        <v>6E-005</v>
      </c>
      <c r="O22" s="23" t="str">
        <f aca="false">IF(I21="","",I21+N22)</f>
        <v/>
      </c>
      <c r="P22" s="23" t="str">
        <f aca="false">IF(C21=0,"",C21)</f>
        <v/>
      </c>
      <c r="Q22" s="16" t="str">
        <f aca="false">I21</f>
        <v/>
      </c>
    </row>
    <row r="23" customFormat="false" ht="14.25" hidden="false" customHeight="true" outlineLevel="0" collapsed="false">
      <c r="B23" s="50" t="str">
        <f aca="false">I23</f>
        <v/>
      </c>
      <c r="C23" s="11"/>
      <c r="D23" s="11"/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30"/>
      <c r="L23" s="30"/>
      <c r="M23" s="27"/>
      <c r="N23" s="22" t="n">
        <v>5E-005</v>
      </c>
      <c r="O23" s="23" t="str">
        <f aca="false">IF(I22="","",I22+N23)</f>
        <v/>
      </c>
      <c r="P23" s="23" t="str">
        <f aca="false">IF(C22=0,"",C22)</f>
        <v/>
      </c>
      <c r="Q23" s="16" t="str">
        <f aca="false">I22</f>
        <v/>
      </c>
    </row>
    <row r="24" customFormat="false" ht="14.25" hidden="false" customHeight="true" outlineLevel="0" collapsed="false">
      <c r="B24" s="50" t="str">
        <f aca="false">I24</f>
        <v/>
      </c>
      <c r="C24" s="11"/>
      <c r="D24" s="11"/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30" t="s">
        <v>55</v>
      </c>
      <c r="L24" s="30"/>
      <c r="M24" s="27"/>
      <c r="N24" s="22" t="n">
        <v>4E-005</v>
      </c>
      <c r="O24" s="23" t="str">
        <f aca="false">IF(I23="","",I23+N24)</f>
        <v/>
      </c>
      <c r="P24" s="23" t="str">
        <f aca="false">IF(C23=0,"",C23)</f>
        <v/>
      </c>
      <c r="Q24" s="16" t="str">
        <f aca="false">I23</f>
        <v/>
      </c>
    </row>
    <row r="25" customFormat="false" ht="14.25" hidden="false" customHeight="true" outlineLevel="0" collapsed="false">
      <c r="B25" s="50" t="str">
        <f aca="false">I25</f>
        <v/>
      </c>
      <c r="C25" s="11"/>
      <c r="D25" s="11"/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62"/>
      <c r="L25" s="30"/>
      <c r="M25" s="27"/>
      <c r="N25" s="22" t="n">
        <v>3E-005</v>
      </c>
      <c r="O25" s="23" t="str">
        <f aca="false">IF(I24="","",I24+N25)</f>
        <v/>
      </c>
      <c r="P25" s="23" t="str">
        <f aca="false">IF(C24=0,"",C24)</f>
        <v/>
      </c>
      <c r="Q25" s="16" t="str">
        <f aca="false">I24</f>
        <v/>
      </c>
    </row>
    <row r="26" customFormat="false" ht="14.25" hidden="false" customHeight="true" outlineLevel="0" collapsed="false">
      <c r="B26" s="50" t="str">
        <f aca="false">I26</f>
        <v/>
      </c>
      <c r="C26" s="11"/>
      <c r="D26" s="11"/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30" t="s">
        <v>56</v>
      </c>
      <c r="L26" s="62" t="n">
        <v>5</v>
      </c>
      <c r="M26" s="27"/>
      <c r="N26" s="22" t="n">
        <v>2E-005</v>
      </c>
      <c r="O26" s="23" t="str">
        <f aca="false">IF(I25="","",I25+N26)</f>
        <v/>
      </c>
      <c r="P26" s="23" t="str">
        <f aca="false">IF(C25=0,"",C25)</f>
        <v/>
      </c>
      <c r="Q26" s="16" t="str">
        <f aca="false">I25</f>
        <v/>
      </c>
    </row>
    <row r="27" customFormat="false" ht="14.25" hidden="false" customHeight="true" outlineLevel="0" collapsed="false">
      <c r="B27" s="50" t="str">
        <f aca="false">I27</f>
        <v/>
      </c>
      <c r="C27" s="11"/>
      <c r="D27" s="11"/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30" t="s">
        <v>32</v>
      </c>
      <c r="L27" s="62" t="n">
        <v>4</v>
      </c>
      <c r="M27" s="27"/>
      <c r="N27" s="22" t="n">
        <v>1E-005</v>
      </c>
      <c r="O27" s="23" t="str">
        <f aca="false">IF(I26="","",I26+N27)</f>
        <v/>
      </c>
      <c r="P27" s="23" t="str">
        <f aca="false">IF(C26=0,"",C26)</f>
        <v/>
      </c>
      <c r="Q27" s="16" t="str">
        <f aca="false">I26</f>
        <v/>
      </c>
    </row>
    <row r="28" customFormat="false" ht="14.25" hidden="false" customHeight="true" outlineLevel="0" collapsed="false">
      <c r="B28" s="50" t="str">
        <f aca="false">I28</f>
        <v/>
      </c>
      <c r="C28" s="11"/>
      <c r="D28" s="11"/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30" t="s">
        <v>48</v>
      </c>
      <c r="L28" s="62" t="n">
        <v>3</v>
      </c>
      <c r="M28" s="27"/>
      <c r="N28" s="22" t="n">
        <v>1E-005</v>
      </c>
      <c r="O28" s="23" t="str">
        <f aca="false">IF(I27="","",I27+N28)</f>
        <v/>
      </c>
      <c r="P28" s="23" t="str">
        <f aca="false">IF(C27=0,"",C27)</f>
        <v/>
      </c>
      <c r="Q28" s="16" t="str">
        <f aca="false">I27</f>
        <v/>
      </c>
    </row>
    <row r="29" customFormat="false" ht="14.25" hidden="false" customHeight="true" outlineLevel="0" collapsed="false">
      <c r="B29" s="50" t="str">
        <f aca="false">I29</f>
        <v/>
      </c>
      <c r="C29" s="11"/>
      <c r="D29" s="11"/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30" t="s">
        <v>57</v>
      </c>
      <c r="L29" s="62" t="n">
        <v>2</v>
      </c>
      <c r="M29" s="27"/>
      <c r="N29" s="23"/>
      <c r="O29" s="23"/>
      <c r="P29" s="23" t="str">
        <f aca="false">IF(C28=0,"",C28)</f>
        <v/>
      </c>
      <c r="Q29" s="16" t="str">
        <f aca="false">I28</f>
        <v/>
      </c>
    </row>
    <row r="30" customFormat="false" ht="14.25" hidden="false" customHeight="true" outlineLevel="0" collapsed="false">
      <c r="B30" s="50" t="str">
        <f aca="false">I30</f>
        <v/>
      </c>
      <c r="C30" s="11"/>
      <c r="D30" s="11"/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30" t="s">
        <v>58</v>
      </c>
      <c r="L30" s="62" t="n">
        <v>1</v>
      </c>
      <c r="M30" s="27"/>
      <c r="N30" s="23"/>
      <c r="O30" s="23"/>
      <c r="P30" s="23" t="str">
        <f aca="false">IF(C29=0,"",C29)</f>
        <v/>
      </c>
      <c r="Q30" s="16" t="str">
        <f aca="false">I29</f>
        <v/>
      </c>
    </row>
    <row r="31" customFormat="false" ht="14.25" hidden="false" customHeight="true" outlineLevel="0" collapsed="false">
      <c r="C31" s="11" t="s">
        <v>131</v>
      </c>
      <c r="D31" s="11"/>
      <c r="E31" s="11"/>
      <c r="F31" s="11"/>
      <c r="G31" s="11"/>
      <c r="H31" s="11"/>
      <c r="I31" s="11" t="n">
        <f aca="false">SUM(I7:I30)</f>
        <v>132</v>
      </c>
      <c r="K31" s="27"/>
      <c r="L31" s="11"/>
      <c r="M31" s="11"/>
      <c r="N31" s="11"/>
      <c r="O31" s="27" t="e">
        <f aca="false">IF(#REF!="","",#REF!+N31)</f>
        <v>#REF!</v>
      </c>
      <c r="P31" s="27" t="e">
        <f aca="false">IF(#REF!=0,"",#REF!)</f>
        <v>#REF!</v>
      </c>
      <c r="Q31" s="28" t="e">
        <f aca="false">#REF!</f>
        <v>#REF!</v>
      </c>
    </row>
    <row r="32" customFormat="false" ht="14.25" hidden="false" customHeight="true" outlineLevel="0" collapsed="false">
      <c r="K32" s="66" t="s">
        <v>60</v>
      </c>
      <c r="L32" s="66"/>
      <c r="M32" s="11"/>
      <c r="N32" s="67"/>
      <c r="O32" s="30" t="n">
        <f aca="false">IF(I31="","",I31+N32)</f>
        <v>132</v>
      </c>
      <c r="P32" s="30" t="str">
        <f aca="false">IF(C31=0,"",C31)</f>
        <v>La puntuación global de los factores ambientales</v>
      </c>
      <c r="Q32" s="31" t="n">
        <f aca="false">I31</f>
        <v>132</v>
      </c>
    </row>
    <row r="33" customFormat="false" ht="14.25" hidden="false" customHeight="true" outlineLevel="0" collapsed="false"/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C1:I2"/>
    <mergeCell ref="C3:I4"/>
    <mergeCell ref="K32:L32"/>
  </mergeCells>
  <conditionalFormatting sqref="G7:G30">
    <cfRule type="containsText" priority="2" operator="containsText" aboveAverage="0" equalAverage="0" bottom="0" percent="0" rank="0" text="Muy Fuerte" dxfId="5">
      <formula>NOT(ISERROR(SEARCH("Muy Fuerte",G7)))</formula>
    </cfRule>
    <cfRule type="containsText" priority="3" operator="containsText" aboveAverage="0" equalAverage="0" bottom="0" percent="0" rank="0" text="Muy Débil" dxfId="8">
      <formula>NOT(ISERROR(SEARCH("Muy Débil",G7)))</formula>
    </cfRule>
    <cfRule type="containsText" priority="4" operator="containsText" aboveAverage="0" equalAverage="0" bottom="0" percent="0" rank="0" text="Débil" dxfId="4">
      <formula>NOT(ISERROR(SEARCH("Débil",G7)))</formula>
    </cfRule>
    <cfRule type="containsText" priority="5" operator="containsText" aboveAverage="0" equalAverage="0" bottom="0" percent="0" rank="0" text="Promedio" dxfId="7">
      <formula>NOT(ISERROR(SEARCH("Promedio",G7)))</formula>
    </cfRule>
    <cfRule type="containsText" priority="6" operator="containsText" aboveAverage="0" equalAverage="0" bottom="0" percent="0" rank="0" text="Fuerte" dxfId="6">
      <formula>NOT(ISERROR(SEARCH("Fuerte",G7)))</formula>
    </cfRule>
    <cfRule type="containsText" priority="7" operator="containsText" aboveAverage="0" equalAverage="0" bottom="0" percent="0" rank="0" text="Muy fuerte" dxfId="5">
      <formula>NOT(ISERROR(SEARCH("Muy fuerte",G7)))</formula>
    </cfRule>
  </conditionalFormatting>
  <conditionalFormatting sqref="E15">
    <cfRule type="containsText" priority="8" operator="containsText" aboveAverage="0" equalAverage="0" bottom="0" percent="0" rank="0" text="Importante" dxfId="6">
      <formula>NOT(ISERROR(SEARCH("Importante",E15)))</formula>
    </cfRule>
    <cfRule type="containsText" priority="9" operator="containsText" aboveAverage="0" equalAverage="0" bottom="0" percent="0" rank="0" text="Indiferente" dxfId="7">
      <formula>NOT(ISERROR(SEARCH("Indiferente",E15)))</formula>
    </cfRule>
    <cfRule type="containsText" priority="10" operator="containsText" aboveAverage="0" equalAverage="0" bottom="0" percent="0" rank="0" text="Sin importancia" dxfId="8">
      <formula>NOT(ISERROR(SEARCH("Sin importancia",E15)))</formula>
    </cfRule>
    <cfRule type="containsText" priority="11" operator="containsText" aboveAverage="0" equalAverage="0" bottom="0" percent="0" rank="0" text="Poco importante" dxfId="4">
      <formula>NOT(ISERROR(SEARCH("Poco importante",E15)))</formula>
    </cfRule>
    <cfRule type="containsText" priority="12" operator="containsText" aboveAverage="0" equalAverage="0" bottom="0" percent="0" rank="0" text="Muy importante" dxfId="5">
      <formula>NOT(ISERROR(SEARCH("Muy importante",E15)))</formula>
    </cfRule>
    <cfRule type="containsText" priority="13" operator="containsText" aboveAverage="0" equalAverage="0" bottom="0" percent="0" rank="0" text="Importante" dxfId="5">
      <formula>NOT(ISERROR(SEARCH("Importante",E15)))</formula>
    </cfRule>
  </conditionalFormatting>
  <conditionalFormatting sqref="E14:E15">
    <cfRule type="containsText" priority="14" operator="containsText" aboveAverage="0" equalAverage="0" bottom="0" percent="0" rank="0" text="Poco importante" dxfId="4">
      <formula>NOT(ISERROR(SEARCH("Poco importante",E14)))</formula>
    </cfRule>
  </conditionalFormatting>
  <conditionalFormatting sqref="H15">
    <cfRule type="containsText" priority="15" operator="containsText" aboveAverage="0" equalAverage="0" bottom="0" percent="0" rank="0" text="Mucho Peor" dxfId="8">
      <formula>NOT(ISERROR(SEARCH("Mucho Peor",H15)))</formula>
    </cfRule>
    <cfRule type="containsText" priority="16" operator="containsText" aboveAverage="0" equalAverage="0" bottom="0" percent="0" rank="0" text="Peor" dxfId="4">
      <formula>NOT(ISERROR(SEARCH("Peor",H15)))</formula>
    </cfRule>
    <cfRule type="containsText" priority="17" operator="containsText" aboveAverage="0" equalAverage="0" bottom="0" percent="0" rank="0" text="Indiferente" dxfId="7">
      <formula>NOT(ISERROR(SEARCH("Indiferente",H15)))</formula>
    </cfRule>
    <cfRule type="containsText" priority="18" operator="containsText" aboveAverage="0" equalAverage="0" bottom="0" percent="0" rank="0" text="Mejora" dxfId="6">
      <formula>NOT(ISERROR(SEARCH("Mejora",H15)))</formula>
    </cfRule>
  </conditionalFormatting>
  <conditionalFormatting sqref="H14:H15">
    <cfRule type="containsText" priority="19" operator="containsText" aboveAverage="0" equalAverage="0" bottom="0" percent="0" rank="0" text="Mejora Mucho" dxfId="5">
      <formula>NOT(ISERROR(SEARCH("Mejora Mucho",H14)))</formula>
    </cfRule>
  </conditionalFormatting>
  <conditionalFormatting sqref="E14">
    <cfRule type="containsText" priority="20" operator="containsText" aboveAverage="0" equalAverage="0" bottom="0" percent="0" rank="0" text="Muy importante" dxfId="5">
      <formula>NOT(ISERROR(SEARCH("Muy importante",E14)))</formula>
    </cfRule>
    <cfRule type="containsText" priority="21" operator="containsText" aboveAverage="0" equalAverage="0" bottom="0" percent="0" rank="0" text="Importante" dxfId="6">
      <formula>NOT(ISERROR(SEARCH("Importante",E14)))</formula>
    </cfRule>
    <cfRule type="containsText" priority="22" operator="containsText" aboveAverage="0" equalAverage="0" bottom="0" percent="0" rank="0" text="Indiferente" dxfId="7">
      <formula>NOT(ISERROR(SEARCH("Indiferente",E14)))</formula>
    </cfRule>
    <cfRule type="containsText" priority="23" operator="containsText" aboveAverage="0" equalAverage="0" bottom="0" percent="0" rank="0" text="Poco importante" dxfId="4">
      <formula>NOT(ISERROR(SEARCH("Poco importante",E14)))</formula>
    </cfRule>
    <cfRule type="containsText" priority="24" operator="containsText" aboveAverage="0" equalAverage="0" bottom="0" percent="0" rank="0" text="Importante" dxfId="5">
      <formula>NOT(ISERROR(SEARCH("Importante",E14)))</formula>
    </cfRule>
    <cfRule type="containsText" priority="25" operator="containsText" aboveAverage="0" equalAverage="0" bottom="0" percent="0" rank="0" text="Sin importancia" dxfId="8">
      <formula>NOT(ISERROR(SEARCH("Sin importancia",E14)))</formula>
    </cfRule>
  </conditionalFormatting>
  <conditionalFormatting sqref="H14">
    <cfRule type="containsText" priority="26" operator="containsText" aboveAverage="0" equalAverage="0" bottom="0" percent="0" rank="0" text="Mucho Peor" dxfId="8">
      <formula>NOT(ISERROR(SEARCH("Mucho Peor",H14)))</formula>
    </cfRule>
    <cfRule type="containsText" priority="27" operator="containsText" aboveAverage="0" equalAverage="0" bottom="0" percent="0" rank="0" text="Peor" dxfId="4">
      <formula>NOT(ISERROR(SEARCH("Peor",H14)))</formula>
    </cfRule>
    <cfRule type="containsText" priority="28" operator="containsText" aboveAverage="0" equalAverage="0" bottom="0" percent="0" rank="0" text="Indiferente" dxfId="7">
      <formula>NOT(ISERROR(SEARCH("Indiferente",H14)))</formula>
    </cfRule>
    <cfRule type="containsText" priority="29" operator="containsText" aboveAverage="0" equalAverage="0" bottom="0" percent="0" rank="0" text="Mejora" dxfId="6">
      <formula>NOT(ISERROR(SEARCH("Mejora",H14)))</formula>
    </cfRule>
    <cfRule type="containsText" priority="30" operator="containsText" aboveAverage="0" equalAverage="0" bottom="0" percent="0" rank="0" text="Mejora Mucho" dxfId="5">
      <formula>NOT(ISERROR(SEARCH("Mejora Mucho",H14)))</formula>
    </cfRule>
  </conditionalFormatting>
  <dataValidations count="4">
    <dataValidation allowBlank="true" errorStyle="stop" operator="between" showDropDown="false" showErrorMessage="true" showInputMessage="false" sqref="E7:E30" type="list">
      <formula1>$K$10:$K$14</formula1>
      <formula2>0</formula2>
    </dataValidation>
    <dataValidation allowBlank="true" errorStyle="stop" operator="between" showDropDown="false" showErrorMessage="true" showInputMessage="false" sqref="F7:F30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00"/>
  <sheetViews>
    <sheetView showFormulas="false" showGridLines="false" showRowColHeaders="true" showZeros="true" rightToLeft="false" tabSelected="false" showOutlineSymbols="true" defaultGridColor="true" view="normal" topLeftCell="E16" colorId="64" zoomScale="100" zoomScaleNormal="100" zoomScalePageLayoutView="100" workbookViewId="0">
      <selection pane="topLeft" activeCell="T7" activeCellId="0" sqref="T7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6.67"/>
    <col collapsed="false" customWidth="true" hidden="true" outlineLevel="0" max="2" min="2" style="8" width="15.56"/>
    <col collapsed="false" customWidth="true" hidden="false" outlineLevel="0" max="4" min="3" style="8" width="35.67"/>
    <col collapsed="false" customWidth="true" hidden="false" outlineLevel="0" max="9" min="5" style="8" width="15.66"/>
    <col collapsed="false" customWidth="false" hidden="false" outlineLevel="0" max="10" min="10" style="8" width="14.44"/>
    <col collapsed="false" customWidth="false" hidden="true" outlineLevel="0" max="17" min="11" style="8" width="14.44"/>
    <col collapsed="false" customWidth="false" hidden="false" outlineLevel="0" max="16384" min="18" style="8" width="14.44"/>
  </cols>
  <sheetData>
    <row r="1" customFormat="false" ht="14.25" hidden="false" customHeight="true" outlineLevel="0" collapsed="false">
      <c r="C1" s="9" t="s">
        <v>18</v>
      </c>
      <c r="D1" s="9"/>
      <c r="E1" s="9"/>
      <c r="F1" s="9"/>
      <c r="G1" s="9"/>
      <c r="H1" s="9"/>
      <c r="I1" s="9"/>
    </row>
    <row r="2" customFormat="false" ht="14.25" hidden="false" customHeight="true" outlineLevel="0" collapsed="false">
      <c r="C2" s="9"/>
      <c r="D2" s="9"/>
      <c r="E2" s="9"/>
      <c r="F2" s="9"/>
      <c r="G2" s="9"/>
      <c r="H2" s="9"/>
      <c r="I2" s="9"/>
    </row>
    <row r="3" customFormat="false" ht="14.25" hidden="false" customHeight="true" outlineLevel="0" collapsed="false">
      <c r="C3" s="10" t="s">
        <v>132</v>
      </c>
      <c r="D3" s="10"/>
      <c r="E3" s="10"/>
      <c r="F3" s="10"/>
      <c r="G3" s="10"/>
      <c r="H3" s="10"/>
      <c r="I3" s="10"/>
    </row>
    <row r="4" customFormat="false" ht="14.25" hidden="false" customHeight="true" outlineLevel="0" collapsed="false">
      <c r="C4" s="10"/>
      <c r="D4" s="10"/>
      <c r="E4" s="10"/>
      <c r="F4" s="10"/>
      <c r="G4" s="10"/>
      <c r="H4" s="10"/>
      <c r="I4" s="10"/>
    </row>
    <row r="5" customFormat="false" ht="14.25" hidden="false" customHeight="true" outlineLevel="0" collapsed="false">
      <c r="C5" s="18"/>
      <c r="D5" s="18"/>
      <c r="E5" s="18"/>
      <c r="F5" s="18"/>
      <c r="G5" s="18"/>
      <c r="H5" s="18"/>
      <c r="I5" s="18"/>
    </row>
    <row r="6" customFormat="false" ht="14.25" hidden="false" customHeight="true" outlineLevel="0" collapsed="false">
      <c r="C6" s="15" t="s">
        <v>133</v>
      </c>
      <c r="D6" s="12" t="s">
        <v>21</v>
      </c>
      <c r="E6" s="15" t="s">
        <v>22</v>
      </c>
      <c r="F6" s="12" t="s">
        <v>23</v>
      </c>
      <c r="G6" s="15" t="s">
        <v>24</v>
      </c>
      <c r="H6" s="12" t="s">
        <v>64</v>
      </c>
      <c r="I6" s="15" t="s">
        <v>26</v>
      </c>
    </row>
    <row r="7" customFormat="false" ht="42.75" hidden="false" customHeight="true" outlineLevel="0" collapsed="false">
      <c r="B7" s="50" t="n">
        <f aca="false">I7</f>
        <v>100</v>
      </c>
      <c r="C7" s="17" t="s">
        <v>134</v>
      </c>
      <c r="D7" s="17" t="s">
        <v>135</v>
      </c>
      <c r="E7" s="18" t="s">
        <v>29</v>
      </c>
      <c r="F7" s="18" t="s">
        <v>41</v>
      </c>
      <c r="G7" s="18" t="s">
        <v>31</v>
      </c>
      <c r="H7" s="18" t="s">
        <v>32</v>
      </c>
      <c r="I7" s="19" t="n">
        <f aca="false">IF(ISERROR(VLOOKUP(E7,$K$10:$L$14,2,FALSE())*VLOOKUP(G7,$K$18:$L$22,2,FALSE())*VLOOKUP(H7,$K$26:$L$30,2,FALSE())),"",VLOOKUP(E7,$K$10:$L$14,2,FALSE())*VLOOKUP(G7,$K$18:$L$22,2,FALSE())*VLOOKUP(H7,$K$26:$L$30,2,FALSE()))</f>
        <v>100</v>
      </c>
    </row>
    <row r="8" customFormat="false" ht="42.75" hidden="false" customHeight="true" outlineLevel="0" collapsed="false">
      <c r="B8" s="50" t="n">
        <f aca="false">I8</f>
        <v>75</v>
      </c>
      <c r="C8" s="17" t="s">
        <v>136</v>
      </c>
      <c r="D8" s="17" t="s">
        <v>137</v>
      </c>
      <c r="E8" s="18" t="s">
        <v>29</v>
      </c>
      <c r="F8" s="18" t="s">
        <v>30</v>
      </c>
      <c r="G8" s="18" t="s">
        <v>31</v>
      </c>
      <c r="H8" s="18" t="s">
        <v>48</v>
      </c>
      <c r="I8" s="20" t="n">
        <f aca="false">IF(ISERROR(VLOOKUP(E8,$K$10:$L$14,2,FALSE())*VLOOKUP(G8,$K$18:$L$22,2,FALSE())*VLOOKUP(H8,$K$26:$L$30,2,FALSE())),"",VLOOKUP(E8,$K$10:$L$14,2,FALSE())*VLOOKUP(G8,$K$18:$L$22,2,FALSE())*VLOOKUP(H8,$K$26:$L$30,2,FALSE()))</f>
        <v>75</v>
      </c>
      <c r="K8" s="30" t="s">
        <v>22</v>
      </c>
      <c r="L8" s="30"/>
      <c r="M8" s="27"/>
      <c r="N8" s="23" t="n">
        <v>0.0002</v>
      </c>
      <c r="O8" s="23" t="n">
        <f aca="false">IF(I7="","",I7+N8)</f>
        <v>100.0002</v>
      </c>
      <c r="P8" s="55" t="str">
        <f aca="false">IF(C7=0,"",C7)</f>
        <v>Ley Habeas Data y protección de datos biométricos</v>
      </c>
      <c r="Q8" s="16" t="n">
        <f aca="false">I7</f>
        <v>100</v>
      </c>
    </row>
    <row r="9" customFormat="false" ht="42.75" hidden="false" customHeight="true" outlineLevel="0" collapsed="false">
      <c r="B9" s="50" t="n">
        <f aca="false">I9</f>
        <v>64</v>
      </c>
      <c r="C9" s="17" t="s">
        <v>138</v>
      </c>
      <c r="D9" s="17" t="s">
        <v>139</v>
      </c>
      <c r="E9" s="18" t="s">
        <v>38</v>
      </c>
      <c r="F9" s="18" t="s">
        <v>30</v>
      </c>
      <c r="G9" s="18" t="s">
        <v>35</v>
      </c>
      <c r="H9" s="18" t="s">
        <v>32</v>
      </c>
      <c r="I9" s="20" t="n">
        <f aca="false">IF(ISERROR(VLOOKUP(E9,$K$10:$L$14,2,FALSE())*VLOOKUP(G9,$K$18:$L$22,2,FALSE())*VLOOKUP(H9,$K$26:$L$30,2,FALSE())),"",VLOOKUP(E9,$K$10:$L$14,2,FALSE())*VLOOKUP(G9,$K$18:$L$22,2,FALSE())*VLOOKUP(H9,$K$26:$L$30,2,FALSE()))</f>
        <v>64</v>
      </c>
      <c r="K9" s="62"/>
      <c r="L9" s="30"/>
      <c r="M9" s="27"/>
      <c r="N9" s="23" t="n">
        <v>0.00019</v>
      </c>
      <c r="O9" s="23" t="n">
        <f aca="false">IF(I8="","",I8+N9)</f>
        <v>75.00019</v>
      </c>
      <c r="P9" s="23" t="str">
        <f aca="false">IF(C8=0,"",C8)</f>
        <v>Responsabilidad civil por encuentros presenciales</v>
      </c>
      <c r="Q9" s="16" t="n">
        <f aca="false">I8</f>
        <v>75</v>
      </c>
    </row>
    <row r="10" customFormat="false" ht="14.25" hidden="false" customHeight="true" outlineLevel="0" collapsed="false">
      <c r="B10" s="50" t="n">
        <f aca="false">I10</f>
        <v>100</v>
      </c>
      <c r="C10" s="17" t="s">
        <v>140</v>
      </c>
      <c r="D10" s="8" t="s">
        <v>141</v>
      </c>
      <c r="E10" s="18" t="s">
        <v>29</v>
      </c>
      <c r="F10" s="18" t="s">
        <v>30</v>
      </c>
      <c r="G10" s="18" t="s">
        <v>31</v>
      </c>
      <c r="H10" s="18" t="s">
        <v>32</v>
      </c>
      <c r="I10" s="20" t="n">
        <f aca="false">IF(ISERROR(VLOOKUP(E10,$K$10:$L$14,2,FALSE())*VLOOKUP(G10,$K$18:$L$22,2,FALSE())*VLOOKUP(H10,$K$26:$L$30,2,FALSE())),"",VLOOKUP(E10,$K$10:$L$14,2,FALSE())*VLOOKUP(G10,$K$18:$L$22,2,FALSE())*VLOOKUP(H10,$K$26:$L$30,2,FALSE()))</f>
        <v>100</v>
      </c>
      <c r="K10" s="30" t="s">
        <v>42</v>
      </c>
      <c r="L10" s="62" t="n">
        <v>1</v>
      </c>
      <c r="M10" s="27"/>
      <c r="N10" s="23" t="n">
        <v>0.00018</v>
      </c>
      <c r="O10" s="23" t="n">
        <f aca="false">IF(I9="","",I9+N10)</f>
        <v>64.00018</v>
      </c>
      <c r="P10" s="23" t="str">
        <f aca="false">IF(C9=0,"",C9)</f>
        <v>Regulación de transacciones y boletería digital</v>
      </c>
      <c r="Q10" s="16" t="n">
        <f aca="false">I9</f>
        <v>64</v>
      </c>
    </row>
    <row r="11" customFormat="false" ht="30" hidden="false" customHeight="true" outlineLevel="0" collapsed="false">
      <c r="B11" s="50" t="n">
        <f aca="false">I11</f>
        <v>0</v>
      </c>
      <c r="C11" s="39" t="s">
        <v>142</v>
      </c>
      <c r="D11" s="8" t="s">
        <v>143</v>
      </c>
      <c r="E11" s="18"/>
      <c r="F11" s="18"/>
      <c r="G11" s="18"/>
      <c r="H11" s="18"/>
      <c r="I11" s="20"/>
      <c r="K11" s="30" t="s">
        <v>45</v>
      </c>
      <c r="L11" s="62" t="n">
        <v>2</v>
      </c>
      <c r="M11" s="27"/>
      <c r="N11" s="23" t="n">
        <v>0.00017</v>
      </c>
      <c r="O11" s="23" t="n">
        <f aca="false">IF(I10="","",I10+N11)</f>
        <v>100.00017</v>
      </c>
      <c r="P11" s="23" t="str">
        <f aca="false">IF(C10=0,"",C10)</f>
        <v>Verificación de identidad y documentos (Cédula de Ciudadanía)</v>
      </c>
      <c r="Q11" s="16" t="n">
        <f aca="false">I10</f>
        <v>100</v>
      </c>
    </row>
    <row r="12" customFormat="false" ht="14.25" hidden="false" customHeight="true" outlineLevel="0" collapsed="false">
      <c r="B12" s="50" t="n">
        <f aca="false">I12</f>
        <v>0</v>
      </c>
      <c r="C12" s="39" t="s">
        <v>144</v>
      </c>
      <c r="D12" s="8" t="s">
        <v>145</v>
      </c>
      <c r="E12" s="18"/>
      <c r="F12" s="18"/>
      <c r="G12" s="18"/>
      <c r="H12" s="18"/>
      <c r="I12" s="20"/>
      <c r="K12" s="30" t="s">
        <v>48</v>
      </c>
      <c r="L12" s="62" t="n">
        <v>3</v>
      </c>
      <c r="M12" s="27"/>
      <c r="N12" s="23" t="n">
        <v>0.00016</v>
      </c>
      <c r="O12" s="23" t="str">
        <f aca="false">IF(I11="","",I11+N12)</f>
        <v/>
      </c>
      <c r="P12" s="23" t="str">
        <f aca="false">IF(C11=0,"",C11)</f>
        <v>L1</v>
      </c>
      <c r="Q12" s="16" t="n">
        <f aca="false">I11</f>
        <v>0</v>
      </c>
    </row>
    <row r="13" customFormat="false" ht="14.25" hidden="false" customHeight="true" outlineLevel="0" collapsed="false">
      <c r="B13" s="50" t="n">
        <f aca="false">I13</f>
        <v>0</v>
      </c>
      <c r="C13" s="39" t="s">
        <v>146</v>
      </c>
      <c r="D13" s="8" t="s">
        <v>147</v>
      </c>
      <c r="E13" s="18"/>
      <c r="F13" s="18"/>
      <c r="G13" s="18"/>
      <c r="H13" s="18"/>
      <c r="I13" s="20"/>
      <c r="K13" s="30" t="s">
        <v>38</v>
      </c>
      <c r="L13" s="62" t="n">
        <v>4</v>
      </c>
      <c r="M13" s="27"/>
      <c r="N13" s="23" t="n">
        <v>0.00015</v>
      </c>
      <c r="O13" s="23" t="str">
        <f aca="false">IF(I12="","",I12+N13)</f>
        <v/>
      </c>
      <c r="P13" s="23" t="str">
        <f aca="false">IF(C12=0,"",C12)</f>
        <v>L2</v>
      </c>
      <c r="Q13" s="16" t="n">
        <f aca="false">I12</f>
        <v>0</v>
      </c>
    </row>
    <row r="14" customFormat="false" ht="14.25" hidden="false" customHeight="true" outlineLevel="0" collapsed="false">
      <c r="B14" s="50" t="n">
        <f aca="false">I14</f>
        <v>0</v>
      </c>
      <c r="C14" s="17"/>
      <c r="E14" s="18"/>
      <c r="F14" s="18"/>
      <c r="G14" s="18"/>
      <c r="H14" s="18"/>
      <c r="I14" s="20"/>
      <c r="K14" s="30" t="s">
        <v>29</v>
      </c>
      <c r="L14" s="62" t="n">
        <v>5</v>
      </c>
      <c r="M14" s="27"/>
      <c r="N14" s="23" t="n">
        <v>0.00014</v>
      </c>
      <c r="O14" s="23" t="str">
        <f aca="false">IF(I13="","",I13+N14)</f>
        <v/>
      </c>
      <c r="P14" s="23" t="str">
        <f aca="false">IF(C13=0,"",C13)</f>
        <v>L3</v>
      </c>
      <c r="Q14" s="16" t="n">
        <f aca="false">I13</f>
        <v>0</v>
      </c>
    </row>
    <row r="15" customFormat="false" ht="14.25" hidden="false" customHeight="true" outlineLevel="0" collapsed="false">
      <c r="B15" s="50" t="n">
        <f aca="false">I15</f>
        <v>0</v>
      </c>
      <c r="C15" s="17"/>
      <c r="E15" s="18"/>
      <c r="F15" s="18"/>
      <c r="G15" s="18"/>
      <c r="H15" s="18"/>
      <c r="I15" s="20"/>
      <c r="K15" s="30"/>
      <c r="L15" s="30"/>
      <c r="M15" s="27"/>
      <c r="N15" s="23" t="n">
        <v>0.00013</v>
      </c>
      <c r="O15" s="23" t="str">
        <f aca="false">IF(I14="","",I14+N15)</f>
        <v/>
      </c>
      <c r="P15" s="23" t="str">
        <f aca="false">IF(C14=0,"",C14)</f>
        <v/>
      </c>
      <c r="Q15" s="16" t="n">
        <f aca="false">I14</f>
        <v>0</v>
      </c>
    </row>
    <row r="16" customFormat="false" ht="14.25" hidden="false" customHeight="true" outlineLevel="0" collapsed="false">
      <c r="B16" s="50" t="n">
        <f aca="false">I16</f>
        <v>0</v>
      </c>
      <c r="C16" s="17"/>
      <c r="E16" s="18"/>
      <c r="F16" s="18"/>
      <c r="G16" s="18"/>
      <c r="H16" s="18"/>
      <c r="I16" s="20"/>
      <c r="K16" s="30" t="s">
        <v>24</v>
      </c>
      <c r="L16" s="30"/>
      <c r="M16" s="27"/>
      <c r="N16" s="23" t="n">
        <v>0.00012</v>
      </c>
      <c r="O16" s="23" t="str">
        <f aca="false">IF(I15="","",I15+N16)</f>
        <v/>
      </c>
      <c r="P16" s="23" t="str">
        <f aca="false">IF(C15=0,"",C15)</f>
        <v/>
      </c>
      <c r="Q16" s="16" t="n">
        <f aca="false">I15</f>
        <v>0</v>
      </c>
    </row>
    <row r="17" customFormat="false" ht="14.25" hidden="false" customHeight="true" outlineLevel="0" collapsed="false">
      <c r="B17" s="50" t="n">
        <f aca="false">I17</f>
        <v>0</v>
      </c>
      <c r="C17" s="11"/>
      <c r="D17" s="11"/>
      <c r="E17" s="18"/>
      <c r="F17" s="18"/>
      <c r="G17" s="18"/>
      <c r="H17" s="18"/>
      <c r="I17" s="20"/>
      <c r="K17" s="62"/>
      <c r="L17" s="30"/>
      <c r="M17" s="27"/>
      <c r="N17" s="23" t="n">
        <v>0.00011</v>
      </c>
      <c r="O17" s="23" t="str">
        <f aca="false">IF(I16="","",I16+N17)</f>
        <v/>
      </c>
      <c r="P17" s="23" t="str">
        <f aca="false">IF(C16=0,"",C16)</f>
        <v/>
      </c>
      <c r="Q17" s="16" t="n">
        <f aca="false">I16</f>
        <v>0</v>
      </c>
    </row>
    <row r="18" customFormat="false" ht="14.25" hidden="false" customHeight="true" outlineLevel="0" collapsed="false">
      <c r="B18" s="50" t="str">
        <f aca="false">I18</f>
        <v/>
      </c>
      <c r="C18" s="11"/>
      <c r="D18" s="11"/>
      <c r="E18" s="18"/>
      <c r="F18" s="18"/>
      <c r="G18" s="18"/>
      <c r="H18" s="18"/>
      <c r="I18" s="20" t="str">
        <f aca="false">IF(ISERROR(VLOOKUP(E18,$K$10:$L$14,2,FALSE())*VLOOKUP(G18,$K$18:$L$22,2,FALSE())*VLOOKUP(H18,$K$26:$L$30,2,FALSE())),"",VLOOKUP(E18,$K$10:$L$14,2,FALSE())*VLOOKUP(G18,$K$18:$L$22,2,FALSE())*VLOOKUP(H18,$K$26:$L$30,2,FALSE()))</f>
        <v/>
      </c>
      <c r="K18" s="30" t="s">
        <v>51</v>
      </c>
      <c r="L18" s="62" t="n">
        <v>5</v>
      </c>
      <c r="M18" s="27"/>
      <c r="N18" s="23" t="n">
        <v>0.0001</v>
      </c>
      <c r="O18" s="23" t="str">
        <f aca="false">IF(I17="","",I17+N18)</f>
        <v/>
      </c>
      <c r="P18" s="23" t="str">
        <f aca="false">IF(C17=0,"",C17)</f>
        <v/>
      </c>
      <c r="Q18" s="16" t="n">
        <f aca="false">I17</f>
        <v>0</v>
      </c>
    </row>
    <row r="19" customFormat="false" ht="14.25" hidden="false" customHeight="true" outlineLevel="0" collapsed="false">
      <c r="B19" s="50" t="str">
        <f aca="false">I19</f>
        <v/>
      </c>
      <c r="C19" s="11"/>
      <c r="D19" s="11"/>
      <c r="E19" s="18"/>
      <c r="F19" s="18"/>
      <c r="G19" s="18"/>
      <c r="H19" s="18"/>
      <c r="I19" s="20" t="str">
        <f aca="false">IF(ISERROR(VLOOKUP(E19,$K$10:$L$14,2,FALSE())*VLOOKUP(G19,$K$18:$L$22,2,FALSE())*VLOOKUP(H19,$K$26:$L$30,2,FALSE())),"",VLOOKUP(E19,$K$10:$L$14,2,FALSE())*VLOOKUP(G19,$K$18:$L$22,2,FALSE())*VLOOKUP(H19,$K$26:$L$30,2,FALSE()))</f>
        <v/>
      </c>
      <c r="K19" s="30" t="s">
        <v>35</v>
      </c>
      <c r="L19" s="62" t="n">
        <v>4</v>
      </c>
      <c r="M19" s="27"/>
      <c r="N19" s="23" t="n">
        <v>9E-005</v>
      </c>
      <c r="O19" s="23" t="str">
        <f aca="false">IF(I18="","",I18+N19)</f>
        <v/>
      </c>
      <c r="P19" s="23" t="str">
        <f aca="false">IF(C18=0,"",C18)</f>
        <v/>
      </c>
      <c r="Q19" s="16" t="str">
        <f aca="false">I18</f>
        <v/>
      </c>
    </row>
    <row r="20" customFormat="false" ht="14.25" hidden="false" customHeight="true" outlineLevel="0" collapsed="false">
      <c r="B20" s="50" t="str">
        <f aca="false">I20</f>
        <v/>
      </c>
      <c r="C20" s="11"/>
      <c r="D20" s="11"/>
      <c r="E20" s="18"/>
      <c r="F20" s="18"/>
      <c r="G20" s="18"/>
      <c r="H20" s="18"/>
      <c r="I20" s="20" t="str">
        <f aca="false">IF(ISERROR(VLOOKUP(E20,$K$10:$L$14,2,FALSE())*VLOOKUP(G20,$K$18:$L$22,2,FALSE())*VLOOKUP(H20,$K$26:$L$30,2,FALSE())),"",VLOOKUP(E20,$K$10:$L$14,2,FALSE())*VLOOKUP(G20,$K$18:$L$22,2,FALSE())*VLOOKUP(H20,$K$26:$L$30,2,FALSE()))</f>
        <v/>
      </c>
      <c r="K20" s="30" t="s">
        <v>52</v>
      </c>
      <c r="L20" s="62" t="n">
        <v>3</v>
      </c>
      <c r="M20" s="27"/>
      <c r="N20" s="23" t="n">
        <v>8E-005</v>
      </c>
      <c r="O20" s="23" t="str">
        <f aca="false">IF(I19="","",I19+N20)</f>
        <v/>
      </c>
      <c r="P20" s="23" t="str">
        <f aca="false">IF(C19=0,"",C19)</f>
        <v/>
      </c>
      <c r="Q20" s="16" t="str">
        <f aca="false">I19</f>
        <v/>
      </c>
    </row>
    <row r="21" customFormat="false" ht="14.25" hidden="false" customHeight="true" outlineLevel="0" collapsed="false">
      <c r="B21" s="50" t="str">
        <f aca="false">I21</f>
        <v/>
      </c>
      <c r="C21" s="11"/>
      <c r="D21" s="11"/>
      <c r="E21" s="18"/>
      <c r="F21" s="18"/>
      <c r="G21" s="18"/>
      <c r="H21" s="18"/>
      <c r="I21" s="20" t="str">
        <f aca="false">IF(ISERROR(VLOOKUP(E21,$K$10:$L$14,2,FALSE())*VLOOKUP(G21,$K$18:$L$22,2,FALSE())*VLOOKUP(H21,$K$26:$L$30,2,FALSE())),"",VLOOKUP(E21,$K$10:$L$14,2,FALSE())*VLOOKUP(G21,$K$18:$L$22,2,FALSE())*VLOOKUP(H21,$K$26:$L$30,2,FALSE()))</f>
        <v/>
      </c>
      <c r="K21" s="30" t="s">
        <v>53</v>
      </c>
      <c r="L21" s="62" t="n">
        <v>2</v>
      </c>
      <c r="M21" s="27"/>
      <c r="N21" s="23" t="n">
        <v>7E-005</v>
      </c>
      <c r="O21" s="23" t="str">
        <f aca="false">IF(I20="","",I20+N21)</f>
        <v/>
      </c>
      <c r="P21" s="23" t="str">
        <f aca="false">IF(C20=0,"",C20)</f>
        <v/>
      </c>
      <c r="Q21" s="16" t="str">
        <f aca="false">I20</f>
        <v/>
      </c>
    </row>
    <row r="22" customFormat="false" ht="14.25" hidden="false" customHeight="true" outlineLevel="0" collapsed="false">
      <c r="B22" s="50" t="str">
        <f aca="false">I22</f>
        <v/>
      </c>
      <c r="C22" s="11"/>
      <c r="D22" s="11"/>
      <c r="E22" s="18"/>
      <c r="F22" s="18"/>
      <c r="G22" s="18"/>
      <c r="H22" s="18"/>
      <c r="I22" s="20" t="str">
        <f aca="false">IF(ISERROR(VLOOKUP(E22,$K$10:$L$14,2,FALSE())*VLOOKUP(G22,$K$18:$L$22,2,FALSE())*VLOOKUP(H22,$K$26:$L$30,2,FALSE())),"",VLOOKUP(E22,$K$10:$L$14,2,FALSE())*VLOOKUP(G22,$K$18:$L$22,2,FALSE())*VLOOKUP(H22,$K$26:$L$30,2,FALSE()))</f>
        <v/>
      </c>
      <c r="K22" s="30" t="s">
        <v>54</v>
      </c>
      <c r="L22" s="62" t="n">
        <v>1</v>
      </c>
      <c r="M22" s="27"/>
      <c r="N22" s="23" t="n">
        <v>6E-005</v>
      </c>
      <c r="O22" s="23" t="str">
        <f aca="false">IF(I21="","",I21+N22)</f>
        <v/>
      </c>
      <c r="P22" s="23" t="str">
        <f aca="false">IF(C21=0,"",C21)</f>
        <v/>
      </c>
      <c r="Q22" s="16" t="str">
        <f aca="false">I21</f>
        <v/>
      </c>
    </row>
    <row r="23" customFormat="false" ht="14.25" hidden="false" customHeight="true" outlineLevel="0" collapsed="false">
      <c r="B23" s="50" t="str">
        <f aca="false">I23</f>
        <v/>
      </c>
      <c r="C23" s="11"/>
      <c r="D23" s="11"/>
      <c r="E23" s="18"/>
      <c r="F23" s="18"/>
      <c r="G23" s="18"/>
      <c r="H23" s="18"/>
      <c r="I23" s="20" t="str">
        <f aca="false">IF(ISERROR(VLOOKUP(E23,$K$10:$L$14,2,FALSE())*VLOOKUP(G23,$K$18:$L$22,2,FALSE())*VLOOKUP(H23,$K$26:$L$30,2,FALSE())),"",VLOOKUP(E23,$K$10:$L$14,2,FALSE())*VLOOKUP(G23,$K$18:$L$22,2,FALSE())*VLOOKUP(H23,$K$26:$L$30,2,FALSE()))</f>
        <v/>
      </c>
      <c r="K23" s="30"/>
      <c r="L23" s="30"/>
      <c r="M23" s="27"/>
      <c r="N23" s="23" t="n">
        <v>5E-005</v>
      </c>
      <c r="O23" s="23" t="str">
        <f aca="false">IF(I22="","",I22+N23)</f>
        <v/>
      </c>
      <c r="P23" s="23" t="str">
        <f aca="false">IF(C22=0,"",C22)</f>
        <v/>
      </c>
      <c r="Q23" s="16" t="str">
        <f aca="false">I22</f>
        <v/>
      </c>
    </row>
    <row r="24" customFormat="false" ht="14.25" hidden="false" customHeight="true" outlineLevel="0" collapsed="false">
      <c r="B24" s="50" t="str">
        <f aca="false">I24</f>
        <v/>
      </c>
      <c r="C24" s="11"/>
      <c r="D24" s="11"/>
      <c r="E24" s="18"/>
      <c r="F24" s="18"/>
      <c r="G24" s="18"/>
      <c r="H24" s="18"/>
      <c r="I24" s="20" t="str">
        <f aca="false">IF(ISERROR(VLOOKUP(E24,$K$10:$L$14,2,FALSE())*VLOOKUP(G24,$K$18:$L$22,2,FALSE())*VLOOKUP(H24,$K$26:$L$30,2,FALSE())),"",VLOOKUP(E24,$K$10:$L$14,2,FALSE())*VLOOKUP(G24,$K$18:$L$22,2,FALSE())*VLOOKUP(H24,$K$26:$L$30,2,FALSE()))</f>
        <v/>
      </c>
      <c r="K24" s="30" t="s">
        <v>55</v>
      </c>
      <c r="L24" s="30"/>
      <c r="M24" s="27"/>
      <c r="N24" s="23" t="n">
        <v>4E-005</v>
      </c>
      <c r="O24" s="23" t="str">
        <f aca="false">IF(I23="","",I23+N24)</f>
        <v/>
      </c>
      <c r="P24" s="23" t="str">
        <f aca="false">IF(C23=0,"",C23)</f>
        <v/>
      </c>
      <c r="Q24" s="16" t="str">
        <f aca="false">I23</f>
        <v/>
      </c>
    </row>
    <row r="25" customFormat="false" ht="14.25" hidden="false" customHeight="true" outlineLevel="0" collapsed="false">
      <c r="B25" s="50" t="str">
        <f aca="false">I25</f>
        <v/>
      </c>
      <c r="C25" s="11"/>
      <c r="D25" s="11"/>
      <c r="E25" s="18"/>
      <c r="F25" s="18"/>
      <c r="G25" s="18"/>
      <c r="H25" s="18"/>
      <c r="I25" s="20" t="str">
        <f aca="false">IF(ISERROR(VLOOKUP(E25,$K$10:$L$14,2,FALSE())*VLOOKUP(G25,$K$18:$L$22,2,FALSE())*VLOOKUP(H25,$K$26:$L$30,2,FALSE())),"",VLOOKUP(E25,$K$10:$L$14,2,FALSE())*VLOOKUP(G25,$K$18:$L$22,2,FALSE())*VLOOKUP(H25,$K$26:$L$30,2,FALSE()))</f>
        <v/>
      </c>
      <c r="K25" s="62"/>
      <c r="L25" s="30"/>
      <c r="M25" s="27"/>
      <c r="N25" s="23" t="n">
        <v>3E-005</v>
      </c>
      <c r="O25" s="23" t="str">
        <f aca="false">IF(I24="","",I24+N25)</f>
        <v/>
      </c>
      <c r="P25" s="23" t="str">
        <f aca="false">IF(C24=0,"",C24)</f>
        <v/>
      </c>
      <c r="Q25" s="16" t="str">
        <f aca="false">I24</f>
        <v/>
      </c>
    </row>
    <row r="26" customFormat="false" ht="14.25" hidden="false" customHeight="true" outlineLevel="0" collapsed="false">
      <c r="B26" s="50" t="str">
        <f aca="false">I26</f>
        <v/>
      </c>
      <c r="C26" s="11"/>
      <c r="D26" s="11"/>
      <c r="E26" s="18"/>
      <c r="F26" s="18"/>
      <c r="G26" s="18"/>
      <c r="H26" s="18"/>
      <c r="I26" s="20" t="str">
        <f aca="false">IF(ISERROR(VLOOKUP(E26,$K$10:$L$14,2,FALSE())*VLOOKUP(G26,$K$18:$L$22,2,FALSE())*VLOOKUP(H26,$K$26:$L$30,2,FALSE())),"",VLOOKUP(E26,$K$10:$L$14,2,FALSE())*VLOOKUP(G26,$K$18:$L$22,2,FALSE())*VLOOKUP(H26,$K$26:$L$30,2,FALSE()))</f>
        <v/>
      </c>
      <c r="K26" s="30" t="s">
        <v>56</v>
      </c>
      <c r="L26" s="62" t="n">
        <v>5</v>
      </c>
      <c r="M26" s="27"/>
      <c r="N26" s="23" t="n">
        <v>2E-005</v>
      </c>
      <c r="O26" s="23" t="str">
        <f aca="false">IF(I25="","",I25+N26)</f>
        <v/>
      </c>
      <c r="P26" s="23" t="str">
        <f aca="false">IF(C25=0,"",C25)</f>
        <v/>
      </c>
      <c r="Q26" s="16" t="str">
        <f aca="false">I25</f>
        <v/>
      </c>
    </row>
    <row r="27" customFormat="false" ht="14.25" hidden="false" customHeight="true" outlineLevel="0" collapsed="false">
      <c r="B27" s="50" t="str">
        <f aca="false">I27</f>
        <v/>
      </c>
      <c r="C27" s="11"/>
      <c r="D27" s="11"/>
      <c r="E27" s="18"/>
      <c r="F27" s="18"/>
      <c r="G27" s="18"/>
      <c r="H27" s="18"/>
      <c r="I27" s="20" t="str">
        <f aca="false">IF(ISERROR(VLOOKUP(E27,$K$10:$L$14,2,FALSE())*VLOOKUP(G27,$K$18:$L$22,2,FALSE())*VLOOKUP(H27,$K$26:$L$30,2,FALSE())),"",VLOOKUP(E27,$K$10:$L$14,2,FALSE())*VLOOKUP(G27,$K$18:$L$22,2,FALSE())*VLOOKUP(H27,$K$26:$L$30,2,FALSE()))</f>
        <v/>
      </c>
      <c r="K27" s="30" t="s">
        <v>32</v>
      </c>
      <c r="L27" s="62" t="n">
        <v>4</v>
      </c>
      <c r="M27" s="27"/>
      <c r="N27" s="23" t="n">
        <v>1E-005</v>
      </c>
      <c r="O27" s="23" t="str">
        <f aca="false">IF(I26="","",I26+N27)</f>
        <v/>
      </c>
      <c r="P27" s="23" t="str">
        <f aca="false">IF(C26=0,"",C26)</f>
        <v/>
      </c>
      <c r="Q27" s="16" t="str">
        <f aca="false">I26</f>
        <v/>
      </c>
    </row>
    <row r="28" customFormat="false" ht="14.25" hidden="false" customHeight="true" outlineLevel="0" collapsed="false">
      <c r="B28" s="50" t="str">
        <f aca="false">I28</f>
        <v/>
      </c>
      <c r="C28" s="11"/>
      <c r="D28" s="11"/>
      <c r="E28" s="18"/>
      <c r="F28" s="18"/>
      <c r="G28" s="18"/>
      <c r="H28" s="18"/>
      <c r="I28" s="20" t="str">
        <f aca="false">IF(ISERROR(VLOOKUP(E28,$K$10:$L$14,2,FALSE())*VLOOKUP(G28,$K$18:$L$22,2,FALSE())*VLOOKUP(H28,$K$26:$L$30,2,FALSE())),"",VLOOKUP(E28,$K$10:$L$14,2,FALSE())*VLOOKUP(G28,$K$18:$L$22,2,FALSE())*VLOOKUP(H28,$K$26:$L$30,2,FALSE()))</f>
        <v/>
      </c>
      <c r="K28" s="30" t="s">
        <v>48</v>
      </c>
      <c r="L28" s="62" t="n">
        <v>3</v>
      </c>
      <c r="M28" s="27"/>
      <c r="N28" s="23"/>
      <c r="O28" s="23" t="str">
        <f aca="false">IF(I27="","",I27+N28)</f>
        <v/>
      </c>
      <c r="P28" s="23" t="str">
        <f aca="false">IF(C27=0,"",C27)</f>
        <v/>
      </c>
      <c r="Q28" s="16" t="str">
        <f aca="false">I27</f>
        <v/>
      </c>
    </row>
    <row r="29" customFormat="false" ht="14.25" hidden="false" customHeight="true" outlineLevel="0" collapsed="false">
      <c r="B29" s="50" t="str">
        <f aca="false">I29</f>
        <v/>
      </c>
      <c r="C29" s="11"/>
      <c r="D29" s="11"/>
      <c r="E29" s="18"/>
      <c r="F29" s="18"/>
      <c r="G29" s="18"/>
      <c r="H29" s="18"/>
      <c r="I29" s="20" t="str">
        <f aca="false">IF(ISERROR(VLOOKUP(E29,$K$10:$L$14,2,FALSE())*VLOOKUP(G29,$K$18:$L$22,2,FALSE())*VLOOKUP(H29,$K$26:$L$30,2,FALSE())),"",VLOOKUP(E29,$K$10:$L$14,2,FALSE())*VLOOKUP(G29,$K$18:$L$22,2,FALSE())*VLOOKUP(H29,$K$26:$L$30,2,FALSE()))</f>
        <v/>
      </c>
      <c r="K29" s="30" t="s">
        <v>57</v>
      </c>
      <c r="L29" s="62" t="n">
        <v>2</v>
      </c>
      <c r="M29" s="27"/>
      <c r="N29" s="23"/>
      <c r="O29" s="23" t="str">
        <f aca="false">IF(I28="","",I28+N29)</f>
        <v/>
      </c>
      <c r="P29" s="23" t="str">
        <f aca="false">IF(C28=0,"",C28)</f>
        <v/>
      </c>
      <c r="Q29" s="16" t="str">
        <f aca="false">I28</f>
        <v/>
      </c>
    </row>
    <row r="30" customFormat="false" ht="14.25" hidden="false" customHeight="true" outlineLevel="0" collapsed="false">
      <c r="B30" s="50" t="str">
        <f aca="false">I30</f>
        <v/>
      </c>
      <c r="C30" s="11"/>
      <c r="D30" s="11"/>
      <c r="E30" s="18"/>
      <c r="F30" s="18"/>
      <c r="G30" s="18"/>
      <c r="H30" s="18"/>
      <c r="I30" s="20" t="str">
        <f aca="false">IF(ISERROR(VLOOKUP(E30,$K$10:$L$14,2,FALSE())*VLOOKUP(G30,$K$18:$L$22,2,FALSE())*VLOOKUP(H30,$K$26:$L$30,2,FALSE())),"",VLOOKUP(E30,$K$10:$L$14,2,FALSE())*VLOOKUP(G30,$K$18:$L$22,2,FALSE())*VLOOKUP(H30,$K$26:$L$30,2,FALSE()))</f>
        <v/>
      </c>
      <c r="K30" s="30" t="s">
        <v>58</v>
      </c>
      <c r="L30" s="62" t="n">
        <v>1</v>
      </c>
      <c r="M30" s="27"/>
      <c r="N30" s="23"/>
      <c r="O30" s="23" t="str">
        <f aca="false">IF(I29="","",I29+N30)</f>
        <v/>
      </c>
      <c r="P30" s="23" t="str">
        <f aca="false">IF(C29=0,"",C29)</f>
        <v/>
      </c>
      <c r="Q30" s="16" t="str">
        <f aca="false">I29</f>
        <v/>
      </c>
    </row>
    <row r="31" customFormat="false" ht="14.25" hidden="false" customHeight="true" outlineLevel="0" collapsed="false">
      <c r="C31" s="11" t="s">
        <v>148</v>
      </c>
      <c r="D31" s="11"/>
      <c r="E31" s="11"/>
      <c r="F31" s="11"/>
      <c r="G31" s="11"/>
      <c r="H31" s="11"/>
      <c r="I31" s="11" t="n">
        <f aca="false">SUM(I7:I30)</f>
        <v>339</v>
      </c>
      <c r="K31" s="27"/>
      <c r="L31" s="11"/>
      <c r="M31" s="11"/>
      <c r="N31" s="11"/>
      <c r="O31" s="27" t="e">
        <f aca="false">IF(#REF!="","",#REF!+N31)</f>
        <v>#REF!</v>
      </c>
      <c r="P31" s="27" t="e">
        <f aca="false">IF(#REF!=0,"",#REF!)</f>
        <v>#REF!</v>
      </c>
      <c r="Q31" s="28" t="e">
        <f aca="false">#REF!</f>
        <v>#REF!</v>
      </c>
    </row>
    <row r="32" customFormat="false" ht="14.25" hidden="false" customHeight="true" outlineLevel="0" collapsed="false">
      <c r="K32" s="68" t="s">
        <v>60</v>
      </c>
      <c r="L32" s="68"/>
      <c r="M32" s="11"/>
      <c r="N32" s="67"/>
      <c r="O32" s="30" t="n">
        <f aca="false">IF(I31="","",I31+N32)</f>
        <v>339</v>
      </c>
      <c r="P32" s="30" t="str">
        <f aca="false">IF(C31=0,"",C31)</f>
        <v>La puntuación global de los factores legales</v>
      </c>
      <c r="Q32" s="31" t="n">
        <f aca="false">I31</f>
        <v>339</v>
      </c>
    </row>
    <row r="33" customFormat="false" ht="14.25" hidden="false" customHeight="true" outlineLevel="0" collapsed="false"/>
    <row r="34" customFormat="false" ht="14.25" hidden="false" customHeight="true" outlineLevel="0" collapsed="false">
      <c r="K34" s="21" t="s">
        <v>41</v>
      </c>
    </row>
    <row r="35" customFormat="false" ht="14.25" hidden="false" customHeight="true" outlineLevel="0" collapsed="false">
      <c r="K35" s="21" t="s">
        <v>30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7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C1:I2"/>
    <mergeCell ref="C3:I4"/>
    <mergeCell ref="K32:L32"/>
  </mergeCells>
  <conditionalFormatting sqref="E7:F30">
    <cfRule type="containsText" priority="2" operator="containsText" aboveAverage="0" equalAverage="0" bottom="0" percent="0" rank="0" text="Poco importante" dxfId="4">
      <formula>NOT(ISERROR(SEARCH("Poco importante",E7)))</formula>
    </cfRule>
    <cfRule type="containsText" priority="3" operator="containsText" aboveAverage="0" equalAverage="0" bottom="0" percent="0" rank="0" text="Muy importante" dxfId="5">
      <formula>NOT(ISERROR(SEARCH("Muy importante",E7)))</formula>
    </cfRule>
    <cfRule type="containsText" priority="4" operator="containsText" aboveAverage="0" equalAverage="0" bottom="0" percent="0" rank="0" text="Importante" dxfId="6">
      <formula>NOT(ISERROR(SEARCH("Importante",E7)))</formula>
    </cfRule>
    <cfRule type="containsText" priority="5" operator="containsText" aboveAverage="0" equalAverage="0" bottom="0" percent="0" rank="0" text="Indiferente" dxfId="7">
      <formula>NOT(ISERROR(SEARCH("Indiferente",E7)))</formula>
    </cfRule>
    <cfRule type="containsText" priority="6" operator="containsText" aboveAverage="0" equalAverage="0" bottom="0" percent="0" rank="0" text="Sin importancia" dxfId="8">
      <formula>NOT(ISERROR(SEARCH("Sin importancia",E7)))</formula>
    </cfRule>
  </conditionalFormatting>
  <conditionalFormatting sqref="G7:G30">
    <cfRule type="containsText" priority="7" operator="containsText" aboveAverage="0" equalAverage="0" bottom="0" percent="0" rank="0" text="Muy Fuerte" dxfId="5">
      <formula>NOT(ISERROR(SEARCH("Muy Fuerte",G7)))</formula>
    </cfRule>
    <cfRule type="containsText" priority="8" operator="containsText" aboveAverage="0" equalAverage="0" bottom="0" percent="0" rank="0" text="Muy Débil" dxfId="8">
      <formula>NOT(ISERROR(SEARCH("Muy Débil",G7)))</formula>
    </cfRule>
    <cfRule type="containsText" priority="9" operator="containsText" aboveAverage="0" equalAverage="0" bottom="0" percent="0" rank="0" text="Débil" dxfId="4">
      <formula>NOT(ISERROR(SEARCH("Débil",G7)))</formula>
    </cfRule>
    <cfRule type="containsText" priority="10" operator="containsText" aboveAverage="0" equalAverage="0" bottom="0" percent="0" rank="0" text="Promedio" dxfId="7">
      <formula>NOT(ISERROR(SEARCH("Promedio",G7)))</formula>
    </cfRule>
    <cfRule type="containsText" priority="11" operator="containsText" aboveAverage="0" equalAverage="0" bottom="0" percent="0" rank="0" text="Fuerte" dxfId="6">
      <formula>NOT(ISERROR(SEARCH("Fuerte",G7)))</formula>
    </cfRule>
    <cfRule type="containsText" priority="12" operator="containsText" aboveAverage="0" equalAverage="0" bottom="0" percent="0" rank="0" text="Muy fuerte" dxfId="5">
      <formula>NOT(ISERROR(SEARCH("Muy fuerte",G7)))</formula>
    </cfRule>
  </conditionalFormatting>
  <conditionalFormatting sqref="H7:H30">
    <cfRule type="containsText" priority="13" operator="containsText" aboveAverage="0" equalAverage="0" bottom="0" percent="0" rank="0" text="Mejora Mucho" dxfId="5">
      <formula>NOT(ISERROR(SEARCH("Mejora Mucho",H7)))</formula>
    </cfRule>
    <cfRule type="containsText" priority="14" operator="containsText" aboveAverage="0" equalAverage="0" bottom="0" percent="0" rank="0" text="Mucho Peor" dxfId="8">
      <formula>NOT(ISERROR(SEARCH("Mucho Peor",H7)))</formula>
    </cfRule>
    <cfRule type="containsText" priority="15" operator="containsText" aboveAverage="0" equalAverage="0" bottom="0" percent="0" rank="0" text="Peor" dxfId="4">
      <formula>NOT(ISERROR(SEARCH("Peor",H7)))</formula>
    </cfRule>
    <cfRule type="containsText" priority="16" operator="containsText" aboveAverage="0" equalAverage="0" bottom="0" percent="0" rank="0" text="Indiferente" dxfId="7">
      <formula>NOT(ISERROR(SEARCH("Indiferente",H7)))</formula>
    </cfRule>
    <cfRule type="containsText" priority="17" operator="containsText" aboveAverage="0" equalAverage="0" bottom="0" percent="0" rank="0" text="Mejora" dxfId="6">
      <formula>NOT(ISERROR(SEARCH("Mejora",H7)))</formula>
    </cfRule>
  </conditionalFormatting>
  <dataValidations count="4">
    <dataValidation allowBlank="true" errorStyle="stop" operator="between" showDropDown="false" showErrorMessage="true" showInputMessage="false" sqref="E7:E30" type="list">
      <formula1>$K$10:$K$14</formula1>
      <formula2>0</formula2>
    </dataValidation>
    <dataValidation allowBlank="true" errorStyle="stop" operator="between" showDropDown="false" showErrorMessage="true" showInputMessage="false" sqref="F7:F30" type="list">
      <formula1>$K$34:$K$35</formula1>
      <formula2>0</formula2>
    </dataValidation>
    <dataValidation allowBlank="true" errorStyle="stop" operator="between" showDropDown="false" showErrorMessage="true" showInputMessage="false" sqref="G7:G30" type="list">
      <formula1>$K$18:$K$22</formula1>
      <formula2>0</formula2>
    </dataValidation>
    <dataValidation allowBlank="true" errorStyle="stop" operator="between" showDropDown="false" showErrorMessage="true" showInputMessage="false" sqref="H7:H30" type="list">
      <formula1>$K$26:$K$30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false" showRowColHeaders="true" showZeros="true" rightToLeft="false" tabSelected="false" showOutlineSymbols="true" defaultGridColor="true" view="normal" topLeftCell="C9" colorId="64" zoomScale="100" zoomScaleNormal="100" zoomScalePageLayoutView="100" workbookViewId="0">
      <selection pane="topLeft" activeCell="E13" activeCellId="0" sqref="E13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2.67"/>
    <col collapsed="false" customWidth="true" hidden="false" outlineLevel="0" max="2" min="2" style="8" width="7"/>
    <col collapsed="false" customWidth="true" hidden="false" outlineLevel="0" max="3" min="3" style="8" width="45.67"/>
    <col collapsed="false" customWidth="true" hidden="false" outlineLevel="0" max="4" min="4" style="8" width="23"/>
    <col collapsed="false" customWidth="true" hidden="false" outlineLevel="0" max="5" min="5" style="8" width="45.89"/>
    <col collapsed="false" customWidth="true" hidden="false" outlineLevel="0" max="6" min="6" style="8" width="12.67"/>
    <col collapsed="false" customWidth="true" hidden="false" outlineLevel="0" max="7" min="7" style="8" width="45.67"/>
    <col collapsed="false" customWidth="true" hidden="false" outlineLevel="0" max="8" min="8" style="8" width="12.56"/>
    <col collapsed="false" customWidth="true" hidden="false" outlineLevel="0" max="11" min="9" style="8" width="10.66"/>
    <col collapsed="false" customWidth="false" hidden="false" outlineLevel="0" max="16384" min="12" style="8" width="14.44"/>
  </cols>
  <sheetData>
    <row r="1" customFormat="false" ht="14.25" hidden="false" customHeight="true" outlineLevel="0" collapsed="false">
      <c r="A1" s="11"/>
      <c r="B1" s="11"/>
      <c r="C1" s="69" t="s">
        <v>149</v>
      </c>
      <c r="D1" s="69"/>
      <c r="E1" s="69"/>
      <c r="F1" s="69"/>
      <c r="G1" s="69"/>
      <c r="H1" s="69"/>
      <c r="I1" s="11"/>
      <c r="J1" s="11"/>
      <c r="K1" s="11"/>
    </row>
    <row r="2" customFormat="false" ht="14.25" hidden="false" customHeight="true" outlineLevel="0" collapsed="false">
      <c r="A2" s="11"/>
      <c r="B2" s="11"/>
      <c r="C2" s="69"/>
      <c r="D2" s="69"/>
      <c r="E2" s="69"/>
      <c r="F2" s="69"/>
      <c r="G2" s="69"/>
      <c r="H2" s="69"/>
      <c r="I2" s="11"/>
      <c r="J2" s="11"/>
      <c r="K2" s="11"/>
    </row>
    <row r="3" customFormat="false" ht="14.2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34.5" hidden="false" customHeight="true" outlineLevel="0" collapsed="false">
      <c r="A4" s="11"/>
      <c r="B4" s="11"/>
      <c r="C4" s="70" t="s">
        <v>150</v>
      </c>
      <c r="D4" s="11"/>
      <c r="E4" s="70" t="s">
        <v>151</v>
      </c>
      <c r="F4" s="71"/>
      <c r="G4" s="70" t="s">
        <v>152</v>
      </c>
      <c r="H4" s="11"/>
      <c r="I4" s="11"/>
      <c r="J4" s="11"/>
      <c r="K4" s="11"/>
    </row>
    <row r="5" customFormat="false" ht="19.5" hidden="false" customHeight="true" outlineLevel="0" collapsed="false">
      <c r="A5" s="72"/>
      <c r="B5" s="72"/>
      <c r="C5" s="73" t="s">
        <v>153</v>
      </c>
      <c r="D5" s="74" t="n">
        <f aca="false">SUM(D6:D8)</f>
        <v>260</v>
      </c>
      <c r="E5" s="75" t="s">
        <v>154</v>
      </c>
      <c r="F5" s="76" t="n">
        <f aca="false">SUM(F6:F8)</f>
        <v>290</v>
      </c>
      <c r="G5" s="77" t="s">
        <v>155</v>
      </c>
      <c r="H5" s="78" t="n">
        <f aca="false">SUM(H6:H8)</f>
        <v>350</v>
      </c>
      <c r="I5" s="72"/>
      <c r="J5" s="72"/>
      <c r="K5" s="72"/>
    </row>
    <row r="6" customFormat="false" ht="54.75" hidden="false" customHeight="true" outlineLevel="0" collapsed="false">
      <c r="A6" s="11"/>
      <c r="B6" s="79" t="n">
        <v>1</v>
      </c>
      <c r="C6" s="80" t="str">
        <f aca="false">IF(ISERROR(VLOOKUP(LARGE(F_Pol!$O$8:$O$27,$B6),F_Pol!$O$8:$P$27,2,FALSE())),"",VLOOKUP(LARGE(F_Pol!$O$8:$O$27,$B6),F_Pol!$O$8:$P$27,2,FALSE()))</f>
        <v>Estabilidad política y social en Colombia</v>
      </c>
      <c r="D6" s="81" t="n">
        <f aca="false">IF(ISERROR(VLOOKUP(LARGE(F_Pol!$O$8:$O$27,$B6),F_Pol!$O$8:$Q$27,3,FALSE())),0,VLOOKUP(LARGE(F_Pol!$O$8:$O$27,$B6),F_Pol!$O$8:$Q$27,3,FALSE()))</f>
        <v>100</v>
      </c>
      <c r="E6" s="82" t="str">
        <f aca="false">IF(ISERROR(VLOOKUP(LARGE(F_Eco!$O$8:$O$27,$B6),F_Eco!$O$8:$P$27,2,FALSE())),"",VLOOKUP(LARGE(F_Eco!$O$8:$O$27,$B6),F_Eco!$O$8:$P$27,2,FALSE()))</f>
        <v>Crecimiento del sector de entretenimiento y ocio</v>
      </c>
      <c r="F6" s="83" t="n">
        <f aca="false">IF(ISERROR(VLOOKUP(LARGE(F_Eco!$O$8:$O$27,$B6),F_Eco!$O$8:$Q$27,3,FALSE())),0,VLOOKUP(LARGE(F_Eco!$O$8:$O$27,$B6),F_Eco!$O$8:$Q$27,3,FALSE()))</f>
        <v>125</v>
      </c>
      <c r="G6" s="84" t="str">
        <f aca="false">IF(ISERROR(VLOOKUP(LARGE(F_Soc!$O$8:$O$27,$B12),F_Soc!$O$8:$P$27,2,FALSE())),"",VLOOKUP(LARGE(F_Soc!$O$8:$O$27,$B12),F_Soc!$O$8:$P$27,2,FALSE()))</f>
        <v>Urbanización y aislamiento social en ciudades</v>
      </c>
      <c r="H6" s="85" t="n">
        <f aca="false">IF(ISERROR(VLOOKUP(LARGE(F_Soc!$O$8:$O$27,$B12),F_Soc!$O$8:$Q$27,3,FALSE())),0,VLOOKUP(LARGE(F_Soc!$O$8:$O$27,$B12),F_Soc!$O$8:$Q$27,3,FALSE()))</f>
        <v>125</v>
      </c>
      <c r="I6" s="11"/>
      <c r="J6" s="11"/>
      <c r="K6" s="11"/>
    </row>
    <row r="7" customFormat="false" ht="48" hidden="false" customHeight="true" outlineLevel="0" collapsed="false">
      <c r="A7" s="11"/>
      <c r="B7" s="79" t="n">
        <v>2</v>
      </c>
      <c r="C7" s="80" t="str">
        <f aca="false">IF(ISERROR(VLOOKUP(LARGE(F_Pol!$O$8:$O$27,$B7),F_Pol!$O$8:$P$27,2,FALSE())),"",VLOOKUP(LARGE(F_Pol!$O$8:$O$27,$B7),F_Pol!$O$8:$P$27,2,FALSE()))</f>
        <v>Política digital y regulación de plataformas tech</v>
      </c>
      <c r="D7" s="81" t="n">
        <f aca="false">IF(ISERROR(VLOOKUP(LARGE(F_Pol!$O$8:$O$27,$B7),F_Pol!$O$8:$Q$27,3,FALSE())),0,VLOOKUP(LARGE(F_Pol!$O$8:$O$27,$B7),F_Pol!$O$8:$Q$27,3,FALSE()))</f>
        <v>80</v>
      </c>
      <c r="E7" s="82" t="str">
        <f aca="false">IF(ISERROR(VLOOKUP(LARGE(F_Eco!$O$8:$O$27,$B7),F_Eco!$O$8:$P$27,2,FALSE())),"",VLOOKUP(LARGE(F_Eco!$O$8:$O$27,$B7),F_Eco!$O$8:$P$27,2,FALSE()))</f>
        <v>Integración de pasarelas de pago locales</v>
      </c>
      <c r="F7" s="83" t="n">
        <f aca="false">IF(ISERROR(VLOOKUP(LARGE(F_Eco!$O$8:$O$27,$B7),F_Eco!$O$8:$Q$27,3,FALSE())),0,VLOOKUP(LARGE(F_Eco!$O$8:$O$27,$B7),F_Eco!$O$8:$Q$27,3,FALSE()))</f>
        <v>125</v>
      </c>
      <c r="G7" s="84" t="str">
        <f aca="false">IF(ISERROR(VLOOKUP(LARGE(F_Soc!$O$8:$O$27,$B13),F_Soc!$O$8:$P$27,2,FALSE())),"",VLOOKUP(LARGE(F_Soc!$O$8:$O$27,$B13),F_Soc!$O$8:$P$27,2,FALSE()))</f>
        <v>Aceptación de plataformas digitales sociales entre jóvenes</v>
      </c>
      <c r="H7" s="85" t="n">
        <f aca="false">IF(ISERROR(VLOOKUP(LARGE(F_Soc!$O$8:$O$27,$B13),F_Soc!$O$8:$Q$27,3,FALSE())),0,VLOOKUP(LARGE(F_Soc!$O$8:$O$27,$B13),F_Soc!$O$8:$Q$27,3,FALSE()))</f>
        <v>125</v>
      </c>
      <c r="I7" s="11"/>
      <c r="J7" s="11"/>
      <c r="K7" s="11"/>
    </row>
    <row r="8" customFormat="false" ht="58.5" hidden="false" customHeight="true" outlineLevel="0" collapsed="false">
      <c r="A8" s="11"/>
      <c r="B8" s="79" t="n">
        <v>3</v>
      </c>
      <c r="C8" s="80" t="str">
        <f aca="false">IF(ISERROR(VLOOKUP(LARGE(F_Pol!$O$8:$O$27,$B8),F_Pol!$O$8:$P$27,2,FALSE())),"",VLOOKUP(LARGE(F_Pol!$O$8:$O$27,$B8),F_Pol!$O$8:$P$27,2,FALSE()))</f>
        <v>Declaratoria de desastre nacional y capacidad de respuesta institucional</v>
      </c>
      <c r="D8" s="81" t="n">
        <f aca="false">IF(ISERROR(VLOOKUP(LARGE(F_Pol!$O$8:$O$27,$B8),F_Pol!$O$8:$Q$27,3,FALSE())),0,VLOOKUP(LARGE(F_Pol!$O$8:$O$27,$B8),F_Pol!$O$8:$Q$27,3,FALSE()))</f>
        <v>80</v>
      </c>
      <c r="E8" s="82" t="str">
        <f aca="false">IF(ISERROR(VLOOKUP(LARGE(F_Eco!$O$8:$O$27,$B8),F_Eco!$O$8:$P$27,2,FALSE())),"",VLOOKUP(LARGE(F_Eco!$O$8:$O$27,$B8),F_Eco!$O$8:$P$27,2,FALSE()))</f>
        <v>Poder adquisitivo de jóvenes y profesionales</v>
      </c>
      <c r="F8" s="83" t="n">
        <f aca="false">IF(ISERROR(VLOOKUP(LARGE(F_Eco!$O$8:$O$27,$B8),F_Eco!$O$8:$Q$27,3,FALSE())),0,VLOOKUP(LARGE(F_Eco!$O$8:$O$27,$B8),F_Eco!$O$8:$Q$27,3,FALSE()))</f>
        <v>40</v>
      </c>
      <c r="G8" s="84" t="str">
        <f aca="false">IF(ISERROR(VLOOKUP(LARGE(F_Soc!$O$8:$O$27,$B14),F_Soc!$O$8:$P$27,2,FALSE())),"",VLOOKUP(LARGE(F_Soc!$O$8:$O$27,$B14),F_Soc!$O$8:$P$27,2,FALSE()))</f>
        <v>Preocupaciones de seguridad en encuentros presenciales</v>
      </c>
      <c r="H8" s="85" t="n">
        <f aca="false">IF(ISERROR(VLOOKUP(LARGE(F_Soc!$O$8:$O$27,$B14),F_Soc!$O$8:$Q$27,3,FALSE())),0,VLOOKUP(LARGE(F_Soc!$O$8:$O$27,$B14),F_Soc!$O$8:$Q$27,3,FALSE()))</f>
        <v>100</v>
      </c>
      <c r="I8" s="11"/>
      <c r="J8" s="11"/>
      <c r="K8" s="11"/>
    </row>
    <row r="9" customFormat="false" ht="30.75" hidden="false" customHeight="true" outlineLevel="0" collapsed="false">
      <c r="A9" s="11"/>
      <c r="B9" s="11"/>
      <c r="C9" s="11"/>
      <c r="D9" s="86"/>
      <c r="E9" s="11"/>
      <c r="F9" s="11"/>
      <c r="G9" s="11"/>
      <c r="H9" s="11"/>
      <c r="I9" s="11"/>
      <c r="J9" s="11"/>
      <c r="K9" s="11"/>
    </row>
    <row r="10" customFormat="false" ht="30.75" hidden="false" customHeight="true" outlineLevel="0" collapsed="false">
      <c r="A10" s="11"/>
      <c r="B10" s="11"/>
      <c r="C10" s="70" t="s">
        <v>156</v>
      </c>
      <c r="D10" s="86"/>
      <c r="E10" s="70" t="s">
        <v>157</v>
      </c>
      <c r="F10" s="11"/>
      <c r="G10" s="70" t="s">
        <v>158</v>
      </c>
      <c r="H10" s="11"/>
      <c r="I10" s="11"/>
      <c r="J10" s="11"/>
      <c r="K10" s="11"/>
    </row>
    <row r="11" customFormat="false" ht="28.5" hidden="false" customHeight="true" outlineLevel="0" collapsed="false">
      <c r="A11" s="11"/>
      <c r="B11" s="72"/>
      <c r="C11" s="87" t="s">
        <v>159</v>
      </c>
      <c r="D11" s="88" t="n">
        <f aca="false">SUM(D12:D14)</f>
        <v>325</v>
      </c>
      <c r="E11" s="89" t="s">
        <v>160</v>
      </c>
      <c r="F11" s="90" t="n">
        <f aca="false">SUM(F12:F14)</f>
        <v>116</v>
      </c>
      <c r="G11" s="91" t="s">
        <v>161</v>
      </c>
      <c r="H11" s="92" t="n">
        <f aca="false">SUM(H12:H14)</f>
        <v>275</v>
      </c>
      <c r="I11" s="11"/>
      <c r="J11" s="11"/>
      <c r="K11" s="11"/>
    </row>
    <row r="12" customFormat="false" ht="40.5" hidden="false" customHeight="true" outlineLevel="0" collapsed="false">
      <c r="A12" s="11"/>
      <c r="B12" s="93" t="n">
        <v>1</v>
      </c>
      <c r="C12" s="94" t="str">
        <f aca="false">IF(ISERROR(VLOOKUP(LARGE(F_Tec!$O$8:$O$27,$B12),F_Tec!$O$8:$P$27,2,FALSE())),"",VLOOKUP(LARGE(F_Tec!$O$8:$O$27,$B12),F_Tec!$O$8:$P$27,2,FALSE()))</f>
        <v>Penetración de internet y smartphones en Colombia</v>
      </c>
      <c r="D12" s="95" t="n">
        <f aca="false">IF(ISERROR(VLOOKUP(LARGE(F_Tec!$O$8:$O$27,$B12),F_Tec!$O$8:$Q$27,3,FALSE())),0,VLOOKUP(LARGE(F_Tec!$O$8:$O$27,$B12),F_Tec!$O$8:$Q$27,3,FALSE()))</f>
        <v>125</v>
      </c>
      <c r="E12" s="96" t="str">
        <f aca="false">IF(ISERROR(VLOOKUP(LARGE(F_Amb!$O$8:$O$27,$B12),F_Amb!$O$8:$P$27,2,FALSE())),"",VLOOKUP(LARGE(F_Amb!$O$8:$O$27,$B12),F_Amb!$O$8:$P$27,2,FALSE()))</f>
        <v>Amenazas por medio de la pandemia COVID 19 en el ambiente </v>
      </c>
      <c r="F12" s="97" t="n">
        <f aca="false">IF(ISERROR(VLOOKUP(LARGE(F_Amb!$O$8:$O$27,$B12),F_Amb!$O$8:$Q$27,3,FALSE())),0,VLOOKUP(LARGE(F_Amb!$O$8:$O$27,$B12),F_Amb!$O$8:$Q$27,3,FALSE()))</f>
        <v>50</v>
      </c>
      <c r="G12" s="98" t="str">
        <f aca="false">IF(ISERROR(VLOOKUP(LARGE(F_Leg!$O$8:$O$27,$B12),F_Leg!$O$8:$P$27,2,FALSE())),"",VLOOKUP(LARGE(F_Leg!$O$8:$O$27,$B12),F_Leg!$O$8:$P$27,2,FALSE()))</f>
        <v>Ley Habeas Data y protección de datos biométricos</v>
      </c>
      <c r="H12" s="99" t="n">
        <f aca="false">IF(ISERROR(VLOOKUP(LARGE(F_Leg!$O$8:$O$27,$B12),F_Leg!$O$8:$Q$27,3,FALSE())),0,VLOOKUP(LARGE(F_Leg!$O$8:$O$27,$B12),F_Leg!$O$8:$Q$27,3,FALSE()))</f>
        <v>100</v>
      </c>
      <c r="I12" s="11"/>
      <c r="J12" s="11"/>
      <c r="K12" s="11"/>
    </row>
    <row r="13" customFormat="false" ht="50.25" hidden="false" customHeight="true" outlineLevel="0" collapsed="false">
      <c r="A13" s="72"/>
      <c r="B13" s="93" t="n">
        <v>2</v>
      </c>
      <c r="C13" s="94" t="str">
        <f aca="false">IF(ISERROR(VLOOKUP(LARGE(F_Tec!$O$8:$O$27,$B13),F_Tec!$O$8:$P$27,2,FALSE())),"",VLOOKUP(LARGE(F_Tec!$O$8:$O$27,$B13),F_Tec!$O$8:$P$27,2,FALSE()))</f>
        <v>Madurez de tecnologías biométricas y facial recognition</v>
      </c>
      <c r="D13" s="95" t="n">
        <f aca="false">IF(ISERROR(VLOOKUP(LARGE(F_Tec!$O$8:$O$27,$B13),F_Tec!$O$8:$Q$27,3,FALSE())),0,VLOOKUP(LARGE(F_Tec!$O$8:$O$27,$B13),F_Tec!$O$8:$Q$27,3,FALSE()))</f>
        <v>100</v>
      </c>
      <c r="E13" s="96" t="str">
        <f aca="false">IF(ISERROR(VLOOKUP(LARGE(F_Amb!$O$8:$O$27,$B13),F_Amb!$O$8:$P$27,2,FALSE())),"",VLOOKUP(LARGE(F_Amb!$O$8:$O$27,$B13),F_Amb!$O$8:$P$27,2,FALSE()))</f>
        <v>Riesgo sísmico y desastres naturales en Colombia</v>
      </c>
      <c r="F13" s="97" t="n">
        <f aca="false">IF(ISERROR(VLOOKUP(LARGE(F_Amb!$O$8:$O$27,$B13),F_Amb!$O$8:$Q$27,3,FALSE())),0,VLOOKUP(LARGE(F_Amb!$O$8:$O$27,$B13),F_Amb!$O$8:$Q$27,3,FALSE()))</f>
        <v>50</v>
      </c>
      <c r="G13" s="98" t="str">
        <f aca="false">IF(ISERROR(VLOOKUP(LARGE(F_Leg!$O$8:$O$27,$B13),F_Leg!$O$8:$P$27,2,FALSE())),"",VLOOKUP(LARGE(F_Leg!$O$8:$O$27,$B13),F_Leg!$O$8:$P$27,2,FALSE()))</f>
        <v>Verificación de identidad y documentos (Cédula de Ciudadanía)</v>
      </c>
      <c r="H13" s="99" t="n">
        <f aca="false">IF(ISERROR(VLOOKUP(LARGE(F_Leg!$O$8:$O$27,$B13),F_Leg!$O$8:$Q$27,3,FALSE())),0,VLOOKUP(LARGE(F_Leg!$O$8:$O$27,$B13),F_Leg!$O$8:$Q$27,3,FALSE()))</f>
        <v>100</v>
      </c>
      <c r="I13" s="72"/>
      <c r="J13" s="72"/>
      <c r="K13" s="72"/>
    </row>
    <row r="14" customFormat="false" ht="63" hidden="false" customHeight="true" outlineLevel="0" collapsed="false">
      <c r="A14" s="11"/>
      <c r="B14" s="93" t="n">
        <v>3</v>
      </c>
      <c r="C14" s="100" t="str">
        <f aca="false">IF(ISERROR(VLOOKUP(LARGE(F_Tec!$O$8:$O$27,$B14),F_Tec!$O$8:$P$27,2,FALSE())),"",VLOOKUP(LARGE(F_Tec!$O$8:$O$27,$B14),F_Tec!$O$8:$P$27,2,FALSE()))</f>
        <v>Infraestructura cloud y hosting colombiano</v>
      </c>
      <c r="D14" s="95" t="n">
        <f aca="false">IF(ISERROR(VLOOKUP(LARGE(F_Tec!$O$8:$O$27,$B14),F_Tec!$O$8:$Q$27,3,FALSE())),0,VLOOKUP(LARGE(F_Tec!$O$8:$O$27,$B14),F_Tec!$O$8:$Q$27,3,FALSE()))</f>
        <v>100</v>
      </c>
      <c r="E14" s="101" t="str">
        <f aca="false">IF(ISERROR(VLOOKUP(LARGE(F_Amb!$O$8:$O$27,$B14),F_Amb!$O$8:$P$27,2,FALSE())),"",VLOOKUP(LARGE(F_Amb!$O$8:$O$27,$B14),F_Amb!$O$8:$P$27,2,FALSE()))</f>
        <v>Sostenibilidad de eventos y movilidad urbana</v>
      </c>
      <c r="F14" s="97" t="n">
        <f aca="false">IF(ISERROR(VLOOKUP(LARGE(F_Amb!$O$8:$O$27,$B14),F_Amb!$O$8:$Q$27,3,FALSE())),0,VLOOKUP(LARGE(F_Amb!$O$8:$O$27,$B14),F_Amb!$O$8:$Q$27,3,FALSE()))</f>
        <v>16</v>
      </c>
      <c r="G14" s="98" t="str">
        <f aca="false">IF(ISERROR(VLOOKUP(LARGE(F_Leg!$O$8:$O$27,$B14),F_Leg!$O$8:$P$27,2,FALSE())),"",VLOOKUP(LARGE(F_Leg!$O$8:$O$27,$B14),F_Leg!$O$8:$P$27,2,FALSE()))</f>
        <v>Responsabilidad civil por encuentros presenciales</v>
      </c>
      <c r="H14" s="99" t="n">
        <f aca="false">IF(ISERROR(VLOOKUP(LARGE(F_Leg!$O$8:$O$27,$B14),F_Leg!$O$8:$Q$27,3,FALSE())),0,VLOOKUP(LARGE(F_Leg!$O$8:$O$27,$B14),F_Leg!$O$8:$Q$27,3,FALSE()))</f>
        <v>75</v>
      </c>
      <c r="I14" s="11"/>
      <c r="J14" s="11"/>
      <c r="K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customFormat="false" ht="14.2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customFormat="false" ht="14.2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4.2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customFormat="false" ht="14.2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customFormat="false" ht="14.2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14.2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customFormat="false" ht="14.2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customFormat="false" ht="14.2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customFormat="false" ht="14.2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customFormat="false" ht="14.2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14.2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14.2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4.2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customFormat="false" ht="14.2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customFormat="false" ht="14.2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customFormat="false" ht="14.2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customFormat="false" ht="14.2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customFormat="false" ht="14.2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customFormat="false" ht="14.2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customFormat="false" ht="14.2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14.2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customFormat="false" ht="14.2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customFormat="false" ht="14.2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14.2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customFormat="false" ht="14.2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customFormat="false" ht="14.2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customFormat="false" ht="14.2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customFormat="false" ht="14.2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customFormat="false" ht="14.2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customFormat="false" ht="14.2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customFormat="false" ht="14.2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customFormat="false" ht="14.2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customFormat="false" ht="14.2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customFormat="false" ht="14.2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customFormat="false" ht="14.2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customFormat="false" ht="14.2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customFormat="false" ht="14.2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customFormat="false" ht="14.2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customFormat="false" ht="14.2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customFormat="false" ht="14.2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customFormat="false" ht="14.2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customFormat="false" ht="14.2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customFormat="false" ht="14.2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customFormat="false" ht="14.2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customFormat="false" ht="14.2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customFormat="false" ht="14.2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customFormat="false" ht="14.2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customFormat="false" ht="14.2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customFormat="false" ht="14.2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customFormat="false" ht="14.2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customFormat="false" ht="14.2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customFormat="false" ht="14.2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customFormat="false" ht="14.2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customFormat="false" ht="14.2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customFormat="false" ht="14.2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customFormat="false" ht="14.2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customFormat="false" ht="14.2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customFormat="false" ht="14.2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customFormat="false" ht="14.2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customFormat="false" ht="14.2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customFormat="false" ht="14.2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customFormat="false" ht="14.2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customFormat="false" ht="14.2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customFormat="false" ht="14.2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customFormat="false" ht="14.2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customFormat="false" ht="14.2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customFormat="false" ht="14.2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customFormat="false" ht="14.2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customFormat="false" ht="14.2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customFormat="false" ht="14.2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customFormat="false" ht="14.2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customFormat="false" ht="14.2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customFormat="false" ht="14.2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customFormat="false" ht="14.2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customFormat="false" ht="14.2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customFormat="false" ht="14.2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customFormat="false" ht="14.2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customFormat="false" ht="14.2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customFormat="false" ht="14.2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customFormat="false" ht="14.25" hidden="false" customHeight="true" outlineLevel="0" collapsed="false">
      <c r="A97" s="11"/>
      <c r="I97" s="11"/>
      <c r="J97" s="11"/>
      <c r="K97" s="11"/>
    </row>
    <row r="98" customFormat="false" ht="14.25" hidden="false" customHeight="true" outlineLevel="0" collapsed="false">
      <c r="A98" s="11"/>
      <c r="I98" s="11"/>
      <c r="J98" s="11"/>
      <c r="K98" s="11"/>
    </row>
  </sheetData>
  <mergeCells count="1">
    <mergeCell ref="C1:H2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I100"/>
  <sheetViews>
    <sheetView showFormulas="false" showGridLines="fals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G23" activeCellId="0" sqref="G23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16"/>
    <col collapsed="false" customWidth="true" hidden="true" outlineLevel="0" max="2" min="2" style="8" width="21.56"/>
    <col collapsed="false" customWidth="true" hidden="false" outlineLevel="0" max="3" min="3" style="8" width="50.67"/>
    <col collapsed="false" customWidth="true" hidden="false" outlineLevel="0" max="4" min="4" style="8" width="14.67"/>
    <col collapsed="false" customWidth="true" hidden="false" outlineLevel="0" max="5" min="5" style="8" width="32.67"/>
    <col collapsed="false" customWidth="true" hidden="false" outlineLevel="0" max="6" min="6" style="8" width="2.67"/>
    <col collapsed="false" customWidth="true" hidden="false" outlineLevel="0" max="9" min="7" style="8" width="32.89"/>
    <col collapsed="false" customWidth="true" hidden="false" outlineLevel="0" max="11" min="10" style="8" width="10.66"/>
    <col collapsed="false" customWidth="false" hidden="false" outlineLevel="0" max="16384" min="12" style="8" width="14.44"/>
  </cols>
  <sheetData>
    <row r="1" customFormat="false" ht="14.25" hidden="false" customHeight="true" outlineLevel="0" collapsed="false">
      <c r="C1" s="9" t="s">
        <v>149</v>
      </c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C2" s="9"/>
      <c r="D2" s="9"/>
      <c r="E2" s="9"/>
      <c r="F2" s="9"/>
      <c r="G2" s="9"/>
      <c r="H2" s="9"/>
      <c r="I2" s="9"/>
    </row>
    <row r="3" customFormat="false" ht="9" hidden="false" customHeight="true" outlineLevel="0" collapsed="false">
      <c r="C3" s="102" t="s">
        <v>162</v>
      </c>
      <c r="D3" s="102"/>
      <c r="E3" s="102"/>
    </row>
    <row r="4" customFormat="false" ht="39" hidden="false" customHeight="true" outlineLevel="0" collapsed="false">
      <c r="C4" s="102"/>
      <c r="D4" s="102"/>
      <c r="E4" s="102"/>
      <c r="G4" s="103"/>
      <c r="H4" s="103"/>
      <c r="I4" s="103"/>
    </row>
    <row r="5" customFormat="false" ht="14.25" hidden="false" customHeight="true" outlineLevel="0" collapsed="false">
      <c r="C5" s="103"/>
      <c r="G5" s="103"/>
      <c r="H5" s="103"/>
      <c r="I5" s="103"/>
    </row>
    <row r="6" customFormat="false" ht="25.5" hidden="false" customHeight="true" outlineLevel="0" collapsed="false">
      <c r="C6" s="104" t="str">
        <f aca="false">Áreas!A1</f>
        <v>Políticos</v>
      </c>
      <c r="D6" s="105" t="n">
        <f aca="false">IF(ISERROR(Rel_PESTEL!E6/SUM(Rel_PESTEL!$E$6:$F$11)),0,Rel_PESTEL!E6/SUM(Rel_PESTEL!$E$6:$F$11))</f>
        <v>0.165728900255754</v>
      </c>
      <c r="E6" s="106" t="n">
        <f aca="false">F_Pol!$I$31</f>
        <v>324</v>
      </c>
      <c r="G6" s="103"/>
      <c r="H6" s="103"/>
      <c r="I6" s="103"/>
    </row>
    <row r="7" customFormat="false" ht="25.5" hidden="false" customHeight="true" outlineLevel="0" collapsed="false">
      <c r="C7" s="107" t="str">
        <f aca="false">Áreas!A2</f>
        <v>Económicos</v>
      </c>
      <c r="D7" s="105" t="n">
        <f aca="false">IF(ISERROR(Rel_PESTEL!E7/SUM(Rel_PESTEL!$E$6:$F$11)),0,Rel_PESTEL!E7/SUM(Rel_PESTEL!$E$6:$F$11))</f>
        <v>0.168797953964194</v>
      </c>
      <c r="E7" s="106" t="n">
        <f aca="false">F_Eco!$I$31</f>
        <v>330</v>
      </c>
      <c r="G7" s="103"/>
      <c r="H7" s="103"/>
      <c r="I7" s="103"/>
    </row>
    <row r="8" customFormat="false" ht="25.5" hidden="false" customHeight="true" outlineLevel="0" collapsed="false">
      <c r="C8" s="108" t="str">
        <f aca="false">Áreas!A3</f>
        <v>Sociales</v>
      </c>
      <c r="D8" s="105" t="n">
        <f aca="false">IF(ISERROR(Rel_PESTEL!E8/SUM(Rel_PESTEL!$E$6:$F$11)),0,Rel_PESTEL!E8/SUM(Rel_PESTEL!$E$6:$F$11))</f>
        <v>0.217391304347826</v>
      </c>
      <c r="E8" s="106" t="n">
        <f aca="false">F_Soc!$I$31</f>
        <v>425</v>
      </c>
      <c r="G8" s="103"/>
      <c r="H8" s="103"/>
      <c r="I8" s="103"/>
    </row>
    <row r="9" customFormat="false" ht="25.5" hidden="false" customHeight="true" outlineLevel="0" collapsed="false">
      <c r="C9" s="109" t="str">
        <f aca="false">Áreas!A4</f>
        <v>Tecnológicos</v>
      </c>
      <c r="D9" s="105" t="n">
        <f aca="false">IF(ISERROR(Rel_PESTEL!E9/SUM(Rel_PESTEL!$E$6:$F$11)),0,Rel_PESTEL!E9/SUM(Rel_PESTEL!$E$6:$F$11))</f>
        <v>0.207161125319693</v>
      </c>
      <c r="E9" s="106" t="n">
        <f aca="false">F_Tec!$I$31</f>
        <v>405</v>
      </c>
      <c r="G9" s="103"/>
      <c r="H9" s="103"/>
      <c r="I9" s="103"/>
    </row>
    <row r="10" customFormat="false" ht="25.5" hidden="false" customHeight="true" outlineLevel="0" collapsed="false">
      <c r="C10" s="110" t="str">
        <f aca="false">Áreas!A5</f>
        <v>Ambientales</v>
      </c>
      <c r="D10" s="105" t="n">
        <f aca="false">IF(ISERROR(Rel_PESTEL!E10/SUM(Rel_PESTEL!$E$6:$F$11)),0,Rel_PESTEL!E10/SUM(Rel_PESTEL!$E$6:$F$11))</f>
        <v>0.0675191815856778</v>
      </c>
      <c r="E10" s="106" t="n">
        <f aca="false">F_Amb!$I$31</f>
        <v>132</v>
      </c>
      <c r="G10" s="103"/>
      <c r="H10" s="103"/>
      <c r="I10" s="103"/>
    </row>
    <row r="11" customFormat="false" ht="25.5" hidden="false" customHeight="true" outlineLevel="0" collapsed="false">
      <c r="C11" s="111" t="str">
        <f aca="false">Áreas!A6</f>
        <v>Legales</v>
      </c>
      <c r="D11" s="105" t="n">
        <f aca="false">IF(ISERROR(Rel_PESTEL!E11/SUM(Rel_PESTEL!$E$6:$F$11)),0,Rel_PESTEL!E11/SUM(Rel_PESTEL!$E$6:$F$11))</f>
        <v>0.173401534526854</v>
      </c>
      <c r="E11" s="106" t="n">
        <f aca="false">F_Leg!$I$31</f>
        <v>339</v>
      </c>
      <c r="G11" s="103"/>
      <c r="H11" s="103"/>
      <c r="I11" s="103"/>
    </row>
    <row r="12" customFormat="false" ht="27.75" hidden="false" customHeight="true" outlineLevel="0" collapsed="false">
      <c r="G12" s="103"/>
      <c r="H12" s="103"/>
      <c r="I12" s="103"/>
    </row>
    <row r="13" customFormat="false" ht="39" hidden="false" customHeight="true" outlineLevel="0" collapsed="false">
      <c r="C13" s="112" t="s">
        <v>163</v>
      </c>
      <c r="D13" s="112"/>
      <c r="E13" s="113"/>
      <c r="F13" s="113"/>
      <c r="G13" s="112" t="s">
        <v>164</v>
      </c>
      <c r="H13" s="112"/>
      <c r="I13" s="113"/>
    </row>
    <row r="14" customFormat="false" ht="3.75" hidden="true" customHeight="true" outlineLevel="0" collapsed="false">
      <c r="C14" s="113"/>
      <c r="D14" s="113"/>
      <c r="E14" s="113"/>
      <c r="F14" s="113"/>
      <c r="G14" s="113"/>
      <c r="H14" s="113"/>
      <c r="I14" s="113"/>
    </row>
    <row r="15" customFormat="false" ht="36.75" hidden="false" customHeight="true" outlineLevel="0" collapsed="false">
      <c r="C15" s="114" t="str">
        <f aca="false">'Matriz PESTEL'!C6</f>
        <v>Estabilidad política y social en Colombia</v>
      </c>
      <c r="D15" s="114"/>
      <c r="E15" s="115" t="n">
        <f aca="false">'Matriz PESTEL'!D6</f>
        <v>100</v>
      </c>
      <c r="F15" s="113"/>
      <c r="G15" s="114" t="str">
        <f aca="false">'Matriz PESTEL'!E6</f>
        <v>Crecimiento del sector de entretenimiento y ocio</v>
      </c>
      <c r="H15" s="114"/>
      <c r="I15" s="115" t="n">
        <f aca="false">'Matriz PESTEL'!F6</f>
        <v>125</v>
      </c>
    </row>
    <row r="16" customFormat="false" ht="25.5" hidden="false" customHeight="true" outlineLevel="0" collapsed="false">
      <c r="C16" s="114" t="str">
        <f aca="false">'Matriz PESTEL'!C7</f>
        <v>Política digital y regulación de plataformas tech</v>
      </c>
      <c r="D16" s="114"/>
      <c r="E16" s="115" t="n">
        <f aca="false">'Matriz PESTEL'!D7</f>
        <v>80</v>
      </c>
      <c r="F16" s="113"/>
      <c r="G16" s="114" t="str">
        <f aca="false">'Matriz PESTEL'!E7</f>
        <v>Integración de pasarelas de pago locales</v>
      </c>
      <c r="H16" s="114"/>
      <c r="I16" s="115" t="n">
        <f aca="false">'Matriz PESTEL'!F7</f>
        <v>125</v>
      </c>
    </row>
    <row r="17" customFormat="false" ht="40.5" hidden="false" customHeight="true" outlineLevel="0" collapsed="false">
      <c r="C17" s="114" t="str">
        <f aca="false">'Matriz PESTEL'!C8</f>
        <v>Declaratoria de desastre nacional y capacidad de respuesta institucional</v>
      </c>
      <c r="D17" s="114"/>
      <c r="E17" s="115" t="n">
        <f aca="false">'Matriz PESTEL'!D8</f>
        <v>80</v>
      </c>
      <c r="F17" s="113"/>
      <c r="G17" s="114" t="str">
        <f aca="false">'Matriz PESTEL'!E8</f>
        <v>Poder adquisitivo de jóvenes y profesionales</v>
      </c>
      <c r="H17" s="114"/>
      <c r="I17" s="115" t="n">
        <f aca="false">'Matriz PESTEL'!F8</f>
        <v>40</v>
      </c>
    </row>
    <row r="18" customFormat="false" ht="25.5" hidden="false" customHeight="true" outlineLevel="0" collapsed="false">
      <c r="C18" s="113"/>
      <c r="D18" s="113"/>
      <c r="E18" s="113"/>
      <c r="F18" s="113"/>
      <c r="G18" s="113"/>
      <c r="H18" s="113"/>
      <c r="I18" s="113"/>
    </row>
    <row r="19" customFormat="false" ht="25.5" hidden="false" customHeight="true" outlineLevel="0" collapsed="false">
      <c r="C19" s="112" t="s">
        <v>165</v>
      </c>
      <c r="D19" s="112"/>
      <c r="E19" s="113"/>
      <c r="F19" s="113"/>
      <c r="G19" s="112" t="s">
        <v>166</v>
      </c>
      <c r="H19" s="112"/>
      <c r="I19" s="113"/>
    </row>
    <row r="20" customFormat="false" ht="18" hidden="false" customHeight="true" outlineLevel="0" collapsed="false">
      <c r="C20" s="113"/>
      <c r="D20" s="113"/>
      <c r="E20" s="113"/>
      <c r="F20" s="113"/>
      <c r="G20" s="113"/>
      <c r="H20" s="113"/>
      <c r="I20" s="113"/>
    </row>
    <row r="21" customFormat="false" ht="51.75" hidden="false" customHeight="true" outlineLevel="0" collapsed="false">
      <c r="C21" s="114" t="str">
        <f aca="false">'Matriz PESTEL'!G6</f>
        <v>Urbanización y aislamiento social en ciudades</v>
      </c>
      <c r="D21" s="114"/>
      <c r="E21" s="116" t="n">
        <f aca="false">'Matriz PESTEL'!H6</f>
        <v>125</v>
      </c>
      <c r="F21" s="113"/>
      <c r="G21" s="117" t="str">
        <f aca="false">'Matriz PESTEL'!C12</f>
        <v>Penetración de internet y smartphones en Colombia</v>
      </c>
      <c r="H21" s="117"/>
      <c r="I21" s="118" t="n">
        <f aca="false">'Matriz PESTEL'!D12</f>
        <v>125</v>
      </c>
    </row>
    <row r="22" customFormat="false" ht="45" hidden="false" customHeight="true" outlineLevel="0" collapsed="false">
      <c r="C22" s="114" t="str">
        <f aca="false">'Matriz PESTEL'!G7</f>
        <v>Aceptación de plataformas digitales sociales entre jóvenes</v>
      </c>
      <c r="D22" s="114"/>
      <c r="E22" s="116" t="n">
        <f aca="false">'Matriz PESTEL'!H7</f>
        <v>125</v>
      </c>
      <c r="F22" s="113"/>
      <c r="G22" s="117" t="str">
        <f aca="false">'Matriz PESTEL'!C13</f>
        <v>Madurez de tecnologías biométricas y facial recognition</v>
      </c>
      <c r="H22" s="117"/>
      <c r="I22" s="118" t="n">
        <f aca="false">'Matriz PESTEL'!D13</f>
        <v>100</v>
      </c>
    </row>
    <row r="23" customFormat="false" ht="45" hidden="false" customHeight="true" outlineLevel="0" collapsed="false">
      <c r="C23" s="114" t="str">
        <f aca="false">'Matriz PESTEL'!G8</f>
        <v>Preocupaciones de seguridad en encuentros presenciales</v>
      </c>
      <c r="D23" s="114"/>
      <c r="E23" s="116" t="n">
        <f aca="false">'Matriz PESTEL'!H8</f>
        <v>100</v>
      </c>
      <c r="F23" s="113"/>
      <c r="G23" s="114" t="str">
        <f aca="false">'Matriz PESTEL'!C14</f>
        <v>Infraestructura cloud y hosting colombiano</v>
      </c>
      <c r="H23" s="114"/>
      <c r="I23" s="118" t="n">
        <f aca="false">'Matriz PESTEL'!D14</f>
        <v>100</v>
      </c>
    </row>
    <row r="24" customFormat="false" ht="25.5" hidden="false" customHeight="true" outlineLevel="0" collapsed="false">
      <c r="C24" s="113"/>
      <c r="D24" s="113"/>
      <c r="E24" s="113"/>
      <c r="F24" s="113"/>
      <c r="G24" s="113"/>
      <c r="H24" s="113"/>
      <c r="I24" s="113"/>
    </row>
    <row r="25" customFormat="false" ht="25.5" hidden="false" customHeight="true" outlineLevel="0" collapsed="false">
      <c r="C25" s="112" t="s">
        <v>167</v>
      </c>
      <c r="D25" s="112"/>
      <c r="E25" s="113"/>
      <c r="F25" s="113"/>
      <c r="G25" s="112" t="s">
        <v>168</v>
      </c>
      <c r="H25" s="112"/>
      <c r="I25" s="113"/>
    </row>
    <row r="26" customFormat="false" ht="25.5" hidden="false" customHeight="true" outlineLevel="0" collapsed="false">
      <c r="C26" s="113"/>
      <c r="D26" s="113"/>
      <c r="E26" s="113"/>
      <c r="F26" s="113"/>
      <c r="G26" s="113"/>
      <c r="H26" s="113"/>
      <c r="I26" s="113"/>
    </row>
    <row r="27" customFormat="false" ht="18" hidden="false" customHeight="true" outlineLevel="0" collapsed="false">
      <c r="C27" s="114" t="str">
        <f aca="false">'Matriz PESTEL'!E12</f>
        <v>Amenazas por medio de la pandemia COVID 19 en el ambiente </v>
      </c>
      <c r="D27" s="114"/>
      <c r="E27" s="119" t="n">
        <f aca="false">'Matriz PESTEL'!F12</f>
        <v>50</v>
      </c>
      <c r="F27" s="113"/>
      <c r="G27" s="114" t="str">
        <f aca="false">'Matriz PESTEL'!G12</f>
        <v>Ley Habeas Data y protección de datos biométricos</v>
      </c>
      <c r="H27" s="114"/>
      <c r="I27" s="120" t="n">
        <f aca="false">'Matriz PESTEL'!H12</f>
        <v>100</v>
      </c>
    </row>
    <row r="28" customFormat="false" ht="18" hidden="false" customHeight="true" outlineLevel="0" collapsed="false">
      <c r="C28" s="114" t="str">
        <f aca="false">'Matriz PESTEL'!E13</f>
        <v>Riesgo sísmico y desastres naturales en Colombia</v>
      </c>
      <c r="D28" s="114"/>
      <c r="E28" s="119" t="n">
        <f aca="false">'Matriz PESTEL'!F13</f>
        <v>50</v>
      </c>
      <c r="F28" s="113"/>
      <c r="G28" s="114" t="str">
        <f aca="false">'Matriz PESTEL'!G13</f>
        <v>Verificación de identidad y documentos (Cédula de Ciudadanía)</v>
      </c>
      <c r="H28" s="114"/>
      <c r="I28" s="120" t="n">
        <f aca="false">'Matriz PESTEL'!H13</f>
        <v>100</v>
      </c>
    </row>
    <row r="29" customFormat="false" ht="18" hidden="false" customHeight="true" outlineLevel="0" collapsed="false">
      <c r="C29" s="117" t="str">
        <f aca="false">'Matriz PESTEL'!E14</f>
        <v>Sostenibilidad de eventos y movilidad urbana</v>
      </c>
      <c r="D29" s="117"/>
      <c r="E29" s="119" t="n">
        <f aca="false">'Matriz PESTEL'!F14</f>
        <v>16</v>
      </c>
      <c r="F29" s="113"/>
      <c r="G29" s="114" t="str">
        <f aca="false">'Matriz PESTEL'!G14</f>
        <v>Responsabilidad civil por encuentros presenciales</v>
      </c>
      <c r="H29" s="114"/>
      <c r="I29" s="120" t="n">
        <f aca="false">'Matriz PESTEL'!H14</f>
        <v>75</v>
      </c>
    </row>
    <row r="30" customFormat="false" ht="22.5" hidden="false" customHeight="true" outlineLevel="0" collapsed="false"/>
    <row r="31" customFormat="false" ht="24.75" hidden="false" customHeight="true" outlineLevel="0" collapsed="false"/>
    <row r="32" customFormat="false" ht="24.75" hidden="false" customHeight="true" outlineLevel="0" collapsed="false"/>
    <row r="33" customFormat="false" ht="24.75" hidden="false" customHeight="true" outlineLevel="0" collapsed="false"/>
    <row r="34" customFormat="false" ht="24.75" hidden="false" customHeight="true" outlineLevel="0" collapsed="false"/>
    <row r="35" customFormat="false" ht="24.7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6">
    <mergeCell ref="C1:I2"/>
    <mergeCell ref="C3:E4"/>
    <mergeCell ref="C13:D13"/>
    <mergeCell ref="G13:H13"/>
    <mergeCell ref="C15:D15"/>
    <mergeCell ref="G15:H15"/>
    <mergeCell ref="C16:D16"/>
    <mergeCell ref="G16:H16"/>
    <mergeCell ref="C17:D17"/>
    <mergeCell ref="G17:H17"/>
    <mergeCell ref="C19:D19"/>
    <mergeCell ref="G19:H19"/>
    <mergeCell ref="C21:D21"/>
    <mergeCell ref="G21:H21"/>
    <mergeCell ref="C22:D22"/>
    <mergeCell ref="G22:H22"/>
    <mergeCell ref="C23:D23"/>
    <mergeCell ref="G23:H23"/>
    <mergeCell ref="C25:D25"/>
    <mergeCell ref="G25:H25"/>
    <mergeCell ref="C27:D27"/>
    <mergeCell ref="G27:H27"/>
    <mergeCell ref="C28:D28"/>
    <mergeCell ref="G28:H28"/>
    <mergeCell ref="C29:D29"/>
    <mergeCell ref="G29:H29"/>
  </mergeCells>
  <conditionalFormatting sqref="C6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2019-10-21T00:48:00Z</dcterms:created>
  <dc:creator>Daniela Camayo Henao</dc:creator>
  <dc:description/>
  <dc:language>en-US</dc:language>
  <cp:lastModifiedBy/>
  <cp:lastPrinted>2021-04-22T12:25:00Z</cp:lastPrinted>
  <dcterms:modified xsi:type="dcterms:W3CDTF">2026-08-31T01:29:52Z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A929CD7C30774E538CEBE6D962D468B5_13</vt:lpwstr>
  </property>
  <property fmtid="{D5CDD505-2E9C-101B-9397-08002B2CF9AE}" pid="4" name="KSOProductBuildVer">
    <vt:lpwstr>2058-12.1.0.28032</vt:lpwstr>
  </property>
</Properties>
</file>