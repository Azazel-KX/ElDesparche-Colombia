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tyles.xml" ContentType="application/vnd.openxmlformats-officedocument.spreadsheetml.style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aily_Scrum" sheetId="1" state="visible" r:id="rId3"/>
    <sheet name="Resumen" sheetId="2" state="visible" r:id="rId4"/>
    <sheet name="Config" sheetId="3" state="visible" r:id="rId5"/>
    <sheet name="Actividades" sheetId="4" state="visible" r:id="rId6"/>
    <sheet name="Impedimentos" sheetId="5" state="visible" r:id="rId7"/>
  </sheets>
  <definedNames>
    <definedName function="false" hidden="true" localSheetId="0" name="_xlnm._FilterDatabase" vbProcedure="false">Daily_Scrum!$A$5:$J$61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<sst xmlns="http://schemas.openxmlformats.org/spreadsheetml/2006/main" count="264" uniqueCount="135">
  <si>
    <t xml:space="preserve">Reuniones diarias (Daily Scrum) · SCR Sprint 1 · ElDesparche</t>
  </si>
  <si>
    <t xml:space="preserve">La tabla se calcula con fórmulas desde las hojas Actividades, Impedimentos y Config. La columna Asistencia (✔/✘) se marca directamente aquí; con ✘ el avance no se reporta ese día.</t>
  </si>
  <si>
    <t xml:space="preserve">Fecha</t>
  </si>
  <si>
    <t xml:space="preserve">ID Actividad</t>
  </si>
  <si>
    <t xml:space="preserve">Descripción</t>
  </si>
  <si>
    <t xml:space="preserve">Responsable</t>
  </si>
  <si>
    <t xml:space="preserve">Asistencia</t>
  </si>
  <si>
    <t xml:space="preserve">Duración estimada (h)</t>
  </si>
  <si>
    <t xml:space="preserve">Avance</t>
  </si>
  <si>
    <t xml:space="preserve">Impedimentos</t>
  </si>
  <si>
    <t xml:space="preserve">Cuello de botella</t>
  </si>
  <si>
    <t xml:space="preserve">Día #</t>
  </si>
  <si>
    <t xml:space="preserve">✔</t>
  </si>
  <si>
    <t xml:space="preserve">✘</t>
  </si>
  <si>
    <t xml:space="preserve">Resumen del Sprint 1</t>
  </si>
  <si>
    <t xml:space="preserve">Todo calculado desde Daily_Scrum, Actividades y Config.</t>
  </si>
  <si>
    <t xml:space="preserve">Integrante</t>
  </si>
  <si>
    <t xml:space="preserve">Actividades</t>
  </si>
  <si>
    <t xml:space="preserve">Puntos</t>
  </si>
  <si>
    <t xml:space="preserve">Horas estimadas</t>
  </si>
  <si>
    <t xml:space="preserve">Días con impedimento</t>
  </si>
  <si>
    <t xml:space="preserve">% días con impedimento</t>
  </si>
  <si>
    <t xml:space="preserve">Reuniones asistidas</t>
  </si>
  <si>
    <t xml:space="preserve">% asistencia</t>
  </si>
  <si>
    <t xml:space="preserve">Total</t>
  </si>
  <si>
    <t xml:space="preserve">Ocurrencias</t>
  </si>
  <si>
    <t xml:space="preserve">% del total</t>
  </si>
  <si>
    <t xml:space="preserve">Configuración del Sprint 1</t>
  </si>
  <si>
    <t xml:space="preserve">Texto azul = dato de entrada editable · Negro = fórmula · Verde = vínculo a otra hoja</t>
  </si>
  <si>
    <t xml:space="preserve">Inicio del sprint (Jira: SCR Sprint 1)</t>
  </si>
  <si>
    <t xml:space="preserve">Festivos (opcional)</t>
  </si>
  <si>
    <t xml:space="preserve">SP (Fibonacci)</t>
  </si>
  <si>
    <t xml:space="preserve">Talla / complejidad</t>
  </si>
  <si>
    <t xml:space="preserve">Estimación en tiempo</t>
  </si>
  <si>
    <t xml:space="preserve">Horas de referencia</t>
  </si>
  <si>
    <t xml:space="preserve">Serie Fibonacci (h/día)</t>
  </si>
  <si>
    <t xml:space="preserve">Fin del sprint (Jira: 29/09)</t>
  </si>
  <si>
    <t xml:space="preserve">XS · Simple</t>
  </si>
  <si>
    <t xml:space="preserve">Media jornada (&lt; 3 h)</t>
  </si>
  <si>
    <t xml:space="preserve">Días hábiles del sprint</t>
  </si>
  <si>
    <t xml:space="preserve">XS–S (interpolado)</t>
  </si>
  <si>
    <t xml:space="preserve">— (no figura en el PPT)</t>
  </si>
  <si>
    <t xml:space="preserve">Horas por story point (serie Fibonacci)</t>
  </si>
  <si>
    <t xml:space="preserve">Tabla G4:J11</t>
  </si>
  <si>
    <t xml:space="preserve">Cada SP se convierte a horas con la tabla de referencia del equipo (Story points.pptx). Antes: 1 SP = 3 h fijo.</t>
  </si>
  <si>
    <t xml:space="preserve">S</t>
  </si>
  <si>
    <t xml:space="preserve">1 jornada</t>
  </si>
  <si>
    <t xml:space="preserve">Meta del sprint (Jira)</t>
  </si>
  <si>
    <t xml:space="preserve">Dejar montado lo básico del proyecto: el repositorio, la base de datos, y que ya se pueda registrar e iniciar sesión en la app.</t>
  </si>
  <si>
    <t xml:space="preserve">M · Media</t>
  </si>
  <si>
    <t xml:space="preserve">2 a 3 días</t>
  </si>
  <si>
    <t xml:space="preserve">L · Compleja</t>
  </si>
  <si>
    <t xml:space="preserve">1 semana</t>
  </si>
  <si>
    <t xml:space="preserve">XL</t>
  </si>
  <si>
    <t xml:space="preserve">2 a 3 semanas</t>
  </si>
  <si>
    <t xml:space="preserve">Integrantes del equipo</t>
  </si>
  <si>
    <t xml:space="preserve">Fecha (día hábil)</t>
  </si>
  <si>
    <t xml:space="preserve">XXL · Épica (revisar/dividir)</t>
  </si>
  <si>
    <t xml:space="preserve">&gt; 3 semanas</t>
  </si>
  <si>
    <t xml:space="preserve">n/a</t>
  </si>
  <si>
    <t xml:space="preserve">EMMANUEL OBANDO SANCHEZ</t>
  </si>
  <si>
    <t xml:space="preserve">Fuente: Story points.pptx (T-shirt &gt; Fibonacci &gt; horas). 2 SP no figura: se interpola entre 1 SP (3 h) y 3 SP (7 h).</t>
  </si>
  <si>
    <t xml:space="preserve">JUAN SEBASTIAN JARAMILLO ORTIZ</t>
  </si>
  <si>
    <t xml:space="preserve">Nota: el PPT dice 1 h = 0,8 SP, pero su propia tabla da 3 SP = 7 h; aquí se usa la tabla.</t>
  </si>
  <si>
    <t xml:space="preserve">ISSABHELLA ALARCON MORENO</t>
  </si>
  <si>
    <t xml:space="preserve">VALENTINA ISABEL OSORIO MORAN</t>
  </si>
  <si>
    <t xml:space="preserve">Categorías de cuello de botella</t>
  </si>
  <si>
    <t xml:space="preserve">Toma de decisiones</t>
  </si>
  <si>
    <t xml:space="preserve">Conocimiento</t>
  </si>
  <si>
    <t xml:space="preserve">Estructura del proyecto</t>
  </si>
  <si>
    <t xml:space="preserve">Conflicto académico (BD)</t>
  </si>
  <si>
    <t xml:space="preserve">Actividades del Sprint 1 (fuente: Jira, proyecto SCR)</t>
  </si>
  <si>
    <t xml:space="preserve">Los días de inicio/fin se reparten por fórmula según los puntos de cada integrante sobre los días hábiles del sprint.</t>
  </si>
  <si>
    <t xml:space="preserve">Descripción (qué se debe ejecutar)</t>
  </si>
  <si>
    <t xml:space="preserve">Estado Jira</t>
  </si>
  <si>
    <t xml:space="preserve">Día inicio</t>
  </si>
  <si>
    <t xml:space="preserve">Día fin</t>
  </si>
  <si>
    <t xml:space="preserve">Días</t>
  </si>
  <si>
    <t xml:space="preserve">Fecha inicio</t>
  </si>
  <si>
    <t xml:space="preserve">Fecha fin</t>
  </si>
  <si>
    <t xml:space="preserve">Horas totales</t>
  </si>
  <si>
    <t xml:space="preserve">Horas / día</t>
  </si>
  <si>
    <t xml:space="preserve">Talla</t>
  </si>
  <si>
    <t xml:space="preserve">SCR-4</t>
  </si>
  <si>
    <t xml:space="preserve">Crear el repositorio del proyecto en GitHub y agregar a los compañeros como colaboradores para versionar desde el inicio.</t>
  </si>
  <si>
    <t xml:space="preserve">Listo</t>
  </si>
  <si>
    <t xml:space="preserve">SCR-5</t>
  </si>
  <si>
    <t xml:space="preserve">Diseñar el modelo de base de datos (entidades, relaciones y llaves) del sistema de eventos y reservas.</t>
  </si>
  <si>
    <t xml:space="preserve">SCR-6</t>
  </si>
  <si>
    <t xml:space="preserve">Configurar la arquitectura MVC del backend (modelos, controladores, rutas y carpetas).</t>
  </si>
  <si>
    <t xml:space="preserve">SCR-7</t>
  </si>
  <si>
    <t xml:space="preserve">Maquetar la interfaz de usuario (pantallas base de registro e inicio de sesión).</t>
  </si>
  <si>
    <t xml:space="preserve">SCR-8</t>
  </si>
  <si>
    <t xml:space="preserve">Crear en PostgreSQL las tablas personas, teléfonos, clientes, agentes y administradores.</t>
  </si>
  <si>
    <t xml:space="preserve">SCR-9</t>
  </si>
  <si>
    <t xml:space="preserve">Crear en PostgreSQL las tablas eventos y reservas con sus relaciones.</t>
  </si>
  <si>
    <t xml:space="preserve">SCR-10</t>
  </si>
  <si>
    <t xml:space="preserve">Elaborar el análisis PESTEL completo de ElDesparche.</t>
  </si>
  <si>
    <t xml:space="preserve">SCR-11</t>
  </si>
  <si>
    <t xml:space="preserve">Elaborar el borrador de la matriz Canvas de ElDesparche.</t>
  </si>
  <si>
    <t xml:space="preserve">SCR-12</t>
  </si>
  <si>
    <t xml:space="preserve">Construir el diagrama de Pareto con las causas de los problemas del proyecto.</t>
  </si>
  <si>
    <t xml:space="preserve">SCR-13</t>
  </si>
  <si>
    <t xml:space="preserve">Elaborar el cronograma, el modelo Iceberg y el apalancamiento de ElDesparche.</t>
  </si>
  <si>
    <t xml:space="preserve">SCR-14</t>
  </si>
  <si>
    <t xml:space="preserve">Consolidar la matriz Canvas final de ElDesparche.</t>
  </si>
  <si>
    <t xml:space="preserve">SCR-15</t>
  </si>
  <si>
    <t xml:space="preserve">Actualizar el análisis PESTEL a su versión 2 (Parches) con las correcciones.</t>
  </si>
  <si>
    <t xml:space="preserve">SCR-91</t>
  </si>
  <si>
    <t xml:space="preserve">Elaborar la matriz Vester general de ElDesparche.</t>
  </si>
  <si>
    <t xml:space="preserve">Registro de impedimentos y cuellos de botella</t>
  </si>
  <si>
    <t xml:space="preserve">Agrega una fila (Día #, ID, categoría y detalle) y aparecerá automáticamente en la hoja Daily_Scrum.</t>
  </si>
  <si>
    <t xml:space="preserve">Categoría</t>
  </si>
  <si>
    <t xml:space="preserve">Detalle del impedimento</t>
  </si>
  <si>
    <t xml:space="preserve">Clave (auto)</t>
  </si>
  <si>
    <t xml:space="preserve">No hay acuerdo sobre el nombre del repositorio ni el flujo de ramas (main/develop); se decide en el daily.</t>
  </si>
  <si>
    <t xml:space="preserve">No todos dominan la herramienta de maquetación (Figma/HTML); se dedica tiempo a aprenderla.</t>
  </si>
  <si>
    <t xml:space="preserve">Equipo nuevo en Jira: dudas para crear, estimar y actualizar actividades; el avance no se registra al día.</t>
  </si>
  <si>
    <t xml:space="preserve">La materia de BD la dictan 2 profesores con criterios distintos (notación y normalización); una parte del equipo sigue a cada uno.</t>
  </si>
  <si>
    <t xml:space="preserve">Sin lineamientos UI definidos (paleta, tipografía, componentes); nadie decide.</t>
  </si>
  <si>
    <t xml:space="preserve">Dudas sobre alcance y metodología del PESTEL (qué factores incluir y con qué fuentes).</t>
  </si>
  <si>
    <t xml:space="preserve">Sin carpeta ni plantillas compartidas para los entregables; los documentos quedan dispersos entre integrantes.</t>
  </si>
  <si>
    <t xml:space="preserve">El modelo entidad-relación se dibuja con dos notaciones distintas y no se logra cerrar un diseño único.</t>
  </si>
  <si>
    <t xml:space="preserve">Demora en decidir cómo modelar personas → clientes/agentes/administradores (herencia vs. tablas separadas).</t>
  </si>
  <si>
    <t xml:space="preserve">Falta de práctica con PostgreSQL (tipos de dato, llaves foráneas) para pasar el diseño a tablas.</t>
  </si>
  <si>
    <t xml:space="preserve">El modelo sigue cambiando por la diferencia de criterios entre los dos profesores de BD; hay que rehacer tablas.</t>
  </si>
  <si>
    <t xml:space="preserve">Se espera la aprobación del equipo sobre el borrador del Canvas; sin decisión no se avanza.</t>
  </si>
  <si>
    <t xml:space="preserve">Cambios del modelo sin versionar: falta acordar estructura de carpetas y ramas para subir los scripts.</t>
  </si>
  <si>
    <t xml:space="preserve">Sin consenso sobre los bloques del Canvas (propuesta de valor y segmentos).</t>
  </si>
  <si>
    <t xml:space="preserve">Estructura de carpetas del backend no definida (rutas, controladores, modelos).</t>
  </si>
  <si>
    <t xml:space="preserve">El PESTEL v1 no tiene formato uniforme y cuesta integrar los aportes de cada integrante.</t>
  </si>
  <si>
    <t xml:space="preserve">Poca experiencia con MVC: no está claro qué va en controlador, servicio y modelo.</t>
  </si>
  <si>
    <t xml:space="preserve">Choque de criterios de los dos profesores de BD en tipos y llaves de eventos y reservas.</t>
  </si>
  <si>
    <t xml:space="preserve">Las causas del Pareto no están cuantificadas; dudas sobre frecuencia y porcentaje acumulado.</t>
  </si>
  <si>
    <t xml:space="preserve">Sin criterio acordado para votar y ponderar las causas de la matriz Vester.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</si>
</sst>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ddd\ dd/mm/yyyy"/>
    <numFmt numFmtId="166" formatCode="0.0"/>
    <numFmt numFmtId="167" formatCode="0%"/>
    <numFmt numFmtId="168" formatCode="dd/mm/yyyy"/>
    <numFmt numFmtId="169" formatCode="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9"/>
      <color rgb="FF80808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6" fontId="8" fillId="0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7" fontId="8" fillId="0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5" fontId="8" fillId="3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6" fontId="8" fillId="3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7" fontId="8" fillId="3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10" fillId="3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top" textRotation="0" wrapText="true" indent="0" shrinkToFit="false"/>
      <protection locked="true" hidden="false"/>
    </xf>
    <xf numFmtId="166" fontId="6" fillId="0" borderId="0" xfId="0" applyFont="true" applyBorder="false" applyAlignment="true" applyProtection="true">
      <alignment horizontal="center" vertical="top" textRotation="0" wrapText="true" indent="0" shrinkToFit="false"/>
      <protection locked="true" hidden="false"/>
    </xf>
    <xf numFmtId="167" fontId="6" fillId="0" borderId="0" xfId="0" applyFont="true" applyBorder="false" applyAlignment="true" applyProtection="true">
      <alignment horizontal="center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8" fontId="9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9" fontId="8" fillId="0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8" fontId="11" fillId="0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 patternType="solid">
          <fgColor rgb="FF1F4E78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006100"/>
          <bgColor rgb="FF000000"/>
        </patternFill>
      </fill>
    </dxf>
    <dxf>
      <fill>
        <patternFill patternType="solid">
          <fgColor rgb="FF9C0006"/>
          <bgColor rgb="FF000000"/>
        </patternFill>
      </fill>
    </dxf>
    <dxf>
      <fill>
        <patternFill patternType="solid">
          <fgColor rgb="FF808080"/>
          <bgColor rgb="FF000000"/>
        </patternFill>
      </fill>
    </dxf>
    <dxf>
      <font>
        <b val="1"/>
        <color rgb="FF006100"/>
      </font>
      <fill>
        <patternFill>
          <bgColor rgb="FFC6EFCE"/>
        </patternFill>
      </fill>
    </dxf>
    <dxf>
      <font>
        <b val="1"/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4F81BD"/>
      <rgbColor rgb="FF33CCCC"/>
      <rgbColor rgb="FF99CC00"/>
      <rgbColor rgb="FFFFCC00"/>
      <rgbColor rgb="FFFF9900"/>
      <rgbColor rgb="FFFF6600"/>
      <rgbColor rgb="FF595959"/>
      <rgbColor rgb="FF878787"/>
      <rgbColor rgb="FF003366"/>
      <rgbColor rgb="FF339966"/>
      <rgbColor rgb="FF0061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Cuellos de botella por categoría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Resumen!B12</c:f>
              <c:strCache>
                <c:ptCount val="1"/>
                <c:pt idx="0">
                  <c:v>Ocurrencias</c:v>
                </c:pt>
              </c:strCache>
            </c:strRef>
          </c:tx>
          <c:spPr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Resumen!$A$13:$A$16</c:f>
              <c:strCache>
                <c:ptCount val="4"/>
                <c:pt idx="0">
                  <c:v>Toma de decisiones</c:v>
                </c:pt>
                <c:pt idx="1">
                  <c:v>Conocimiento</c:v>
                </c:pt>
                <c:pt idx="2">
                  <c:v>Estructura del proyecto</c:v>
                </c:pt>
                <c:pt idx="3">
                  <c:v>Conflicto académico (BD)</c:v>
                </c:pt>
              </c:strCache>
            </c:strRef>
          </c:cat>
          <c:val>
            <c:numRef>
              <c:f>Resumen!$B$13:$B$16</c:f>
              <c:numCache>
                <c:formatCode>General</c:formatCode>
                <c:ptCount val="4"/>
                <c:pt idx="0">
                  <c:v>6</c:v>
                </c:pt>
                <c:pt idx="1">
                  <c:v>6</c:v>
                </c:pt>
                <c:pt idx="2">
                  <c:v>4</c:v>
                </c:pt>
                <c:pt idx="3">
                  <c:v>4</c:v>
                </c:pt>
              </c:numCache>
            </c:numRef>
          </c:val>
        </c:ser>
        <c:gapWidth val="150"/>
        <c:overlap val="0"/>
        <c:axId val="93917734"/>
        <c:axId val="85375649"/>
      </c:barChart>
      <c:catAx>
        <c:axId val="9391773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5375649"/>
        <c:crosses val="autoZero"/>
        <c:auto val="1"/>
        <c:lblAlgn val="ctr"/>
        <c:lblOffset val="100"/>
        <c:noMultiLvlLbl val="0"/>
      </c:catAx>
      <c:valAx>
        <c:axId val="8537564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3917734"/>
        <c:crosses val="autoZero"/>
        <c:crossBetween val="between"/>
      </c:valAx>
      <c:spPr>
        <a:ln w="0">
          <a:noFill/>
        </a:ln>
      </c:spPr>
    </c:plotArea>
    <c:plotVisOnly val="1"/>
    <c:dispBlanksAs val="gap"/>
  </c:chart>
  <c:spPr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lineWidthScale>1</cs:lineWidthScale>
    <cs:fillRef idx="0"/>
    <cs:effectRef idx="0"/>
    <cs:fontRef idx="minor"/>
    <a:defRPr sz="1800" b="0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3</xdr:row>
      <xdr:rowOff>0</xdr:rowOff>
    </xdr:from>
    <xdr:to>
      <xdr:col>18</xdr:col>
      <xdr:colOff>341640</xdr:colOff>
      <xdr:row>14</xdr:row>
      <xdr:rowOff>42480</xdr:rowOff>
    </xdr:to>
    <xdr:graphicFrame>
      <xdr:nvGraphicFramePr>
        <xdr:cNvPr id="1" name="Chart 1"/>
        <xdr:cNvGraphicFramePr/>
      </xdr:nvGraphicFramePr>
      <xdr:xfrm>
        <a:off x="11527200" y="601200"/>
        <a:ext cx="5759280" cy="251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11"/>
    <col collapsed="false" customWidth="true" hidden="false" outlineLevel="0" max="3" min="3" style="1" width="46"/>
    <col collapsed="false" customWidth="true" hidden="false" outlineLevel="0" max="4" min="4" style="1" width="30"/>
    <col collapsed="false" customWidth="true" hidden="false" outlineLevel="0" max="5" min="5" style="1" width="11"/>
    <col collapsed="false" customWidth="true" hidden="false" outlineLevel="0" max="6" min="6" style="1" width="13"/>
    <col collapsed="false" customWidth="true" hidden="false" outlineLevel="0" max="7" min="7" style="1" width="9"/>
    <col collapsed="false" customWidth="true" hidden="false" outlineLevel="0" max="8" min="8" style="1" width="58"/>
    <col collapsed="false" customWidth="true" hidden="false" outlineLevel="0" max="9" min="9" style="1" width="24"/>
    <col collapsed="false" customWidth="true" hidden="false" outlineLevel="0" max="10" min="10" style="1" width="7"/>
  </cols>
  <sheetData>
    <row r="1" customFormat="false" ht="17.35" hidden="false" customHeight="false" outlineLevel="0" collapsed="false">
      <c r="A1" s="2" t="s">
        <v>0</v>
      </c>
    </row>
    <row r="2" customFormat="false" ht="15" hidden="false" customHeight="false" outlineLevel="0" collapsed="false">
      <c r="A2" s="3" t="s">
        <v>1</v>
      </c>
    </row>
    <row r="3" customFormat="false" ht="15" hidden="false" customHeight="false" outlineLevel="0" collapsed="false">
      <c r="A3" s="4" t="str">
        <f aca="false">"Sprint: "&amp;TEXT(Config!B4,"dd/mm/yyyy")&amp;" al "&amp;TEXT(Config!B5,"dd/mm/yyyy")&amp;" · "&amp;Config!B6&amp;" reuniones diarias × "&amp;COUNTA(Config!A12:A15)&amp;" integrantes"</f>
        <v>Sprint: 10/09/2026 al 29/09/2026 · 14 reuniones diarias × 4 integrantes</v>
      </c>
    </row>
    <row r="5" customFormat="false" ht="30" hidden="false" customHeight="true" outlineLevel="0" collapsed="false">
      <c r="A5" s="5" t="s">
        <v>2</v>
      </c>
      <c r="B5" s="5" t="s">
        <v>3</v>
      </c>
      <c r="C5" s="5" t="s">
        <v>4</v>
      </c>
      <c r="D5" s="5" t="s">
        <v>5</v>
      </c>
      <c r="E5" s="5" t="s">
        <v>6</v>
      </c>
      <c r="F5" s="5" t="s">
        <v>7</v>
      </c>
      <c r="G5" s="5" t="s">
        <v>8</v>
      </c>
      <c r="H5" s="5" t="s">
        <v>9</v>
      </c>
      <c r="I5" s="5" t="s">
        <v>10</v>
      </c>
      <c r="J5" s="5" t="s">
        <v>11</v>
      </c>
    </row>
    <row r="6" customFormat="false" ht="42" hidden="false" customHeight="true" outlineLevel="0" collapsed="false">
      <c r="A6" s="6" t="n">
        <f aca="false">INDEX(Config!$C$12:$C$31,J6)</f>
        <v>46275</v>
      </c>
      <c r="B6" s="7" t="str">
        <f aca="false">INDEX(Actividades!$A$5:$A$17,SUMPRODUCT((Actividades!$C$5:$C$17=D6)*(Actividades!$F$5:$F$17&lt;=J6)*(Actividades!$G$5:$G$17&gt;=J6)*(ROW(Actividades!$C$5:$C$17)-4)))</f>
        <v>SCR-4</v>
      </c>
      <c r="C6" s="8" t="str">
        <f aca="false">INDEX(Actividades!$B$5:$B$17,MATCH($B6,Actividades!$A$5:$A$17,0))</f>
        <v>Crear el repositorio del proyecto en GitHub y agregar a los compañeros como colaboradores para versionar desde el inicio.</v>
      </c>
      <c r="D6" s="8" t="str">
        <f aca="false">INDEX(Config!$A$12:$A$15,MOD(ROW()-6,4)+1)</f>
        <v>EMMANUEL OBANDO SANCHEZ</v>
      </c>
      <c r="E6" s="9" t="s">
        <v>12</v>
      </c>
      <c r="F6" s="10" t="n">
        <f aca="false">INDEX(Actividades!$L$5:$L$17,MATCH($B6,Actividades!$A$5:$A$17,0))</f>
        <v>2</v>
      </c>
      <c r="G6" s="11" t="n">
        <f aca="false">IF($E6="✘",IF($J6=INDEX(Actividades!$F$5:$F$17,MATCH($B6,Actividades!$A$5:$A$17,0)),0,0),IF($J6=INDEX(Actividades!$G$5:$G$17,MATCH($B6,Actividades!$A$5:$A$17,0)),1,IF(AND($I6&lt;&gt;"—",$J6&gt;INDEX(Actividades!$F$5:$F$17,MATCH($B6,Actividades!$A$5:$A$17,0))),MIN(0,MIN(0.95,ROUND(($J6-INDEX(Actividades!$F$5:$F$17,MATCH($B6,Actividades!$A$5:$A$17,0))+1)/(INDEX(Actividades!$G$5:$G$17,MATCH($B6,Actividades!$A$5:$A$17,0))-INDEX(Actividades!$F$5:$F$17,MATCH($B6,Actividades!$A$5:$A$17,0))+1)*20,0)/20)),MIN(0.95,ROUND(($J6-INDEX(Actividades!$F$5:$F$17,MATCH($B6,Actividades!$A$5:$A$17,0))+1)/(INDEX(Actividades!$G$5:$G$17,MATCH($B6,Actividades!$A$5:$A$17,0))-INDEX(Actividades!$F$5:$F$17,MATCH($B6,Actividades!$A$5:$A$17,0))+1)*20,0)/20))))</f>
        <v>0.5</v>
      </c>
      <c r="H6" s="8" t="str">
        <f aca="false">IF($E6="✘","Ausente: no asistió al daily (sin reporte)",IFERROR(INDEX(Impedimentos!$E$5:$E$60,MATCH(B6&amp;"|"&amp;J6,Impedimentos!$F$5:$F$60,0)),"Sin impedimentos"))</f>
        <v>No hay acuerdo sobre el nombre del repositorio ni el flujo de ramas (main/develop); se decide en el daily.</v>
      </c>
      <c r="I6" s="8" t="str">
        <f aca="false">IF($E6="✘","—",IFERROR(INDEX(Impedimentos!$D$5:$D$60,MATCH(B6&amp;"|"&amp;J6,Impedimentos!$F$5:$F$60,0)),"—"))</f>
        <v>Toma de decisiones</v>
      </c>
      <c r="J6" s="12" t="n">
        <f aca="false">INT((ROW()-6)/4)+1</f>
        <v>1</v>
      </c>
    </row>
    <row r="7" customFormat="false" ht="42" hidden="false" customHeight="true" outlineLevel="0" collapsed="false">
      <c r="A7" s="6" t="n">
        <f aca="false">INDEX(Config!$C$12:$C$31,J7)</f>
        <v>46275</v>
      </c>
      <c r="B7" s="7" t="str">
        <f aca="false">INDEX(Actividades!$A$5:$A$17,SUMPRODUCT((Actividades!$C$5:$C$17=D7)*(Actividades!$F$5:$F$17&lt;=J7)*(Actividades!$G$5:$G$17&gt;=J7)*(ROW(Actividades!$C$5:$C$17)-4)))</f>
        <v>SCR-7</v>
      </c>
      <c r="C7" s="8" t="str">
        <f aca="false">INDEX(Actividades!$B$5:$B$17,MATCH($B7,Actividades!$A$5:$A$17,0))</f>
        <v>Maquetar la interfaz de usuario (pantallas base de registro e inicio de sesión).</v>
      </c>
      <c r="D7" s="8" t="str">
        <f aca="false">INDEX(Config!$A$12:$A$15,MOD(ROW()-6,4)+1)</f>
        <v>JUAN SEBASTIAN JARAMILLO ORTIZ</v>
      </c>
      <c r="E7" s="9" t="s">
        <v>12</v>
      </c>
      <c r="F7" s="10" t="n">
        <f aca="false">INDEX(Actividades!$L$5:$L$17,MATCH($B7,Actividades!$A$5:$A$17,0))</f>
        <v>1</v>
      </c>
      <c r="G7" s="11" t="n">
        <f aca="false">IF($E7="✘",IF($J7=INDEX(Actividades!$F$5:$F$17,MATCH($B7,Actividades!$A$5:$A$17,0)),0,0),IF($J7=INDEX(Actividades!$G$5:$G$17,MATCH($B7,Actividades!$A$5:$A$17,0)),1,IF(AND($I7&lt;&gt;"—",$J7&gt;INDEX(Actividades!$F$5:$F$17,MATCH($B7,Actividades!$A$5:$A$17,0))),MIN(0,MIN(0.95,ROUND(($J7-INDEX(Actividades!$F$5:$F$17,MATCH($B7,Actividades!$A$5:$A$17,0))+1)/(INDEX(Actividades!$G$5:$G$17,MATCH($B7,Actividades!$A$5:$A$17,0))-INDEX(Actividades!$F$5:$F$17,MATCH($B7,Actividades!$A$5:$A$17,0))+1)*20,0)/20)),MIN(0.95,ROUND(($J7-INDEX(Actividades!$F$5:$F$17,MATCH($B7,Actividades!$A$5:$A$17,0))+1)/(INDEX(Actividades!$G$5:$G$17,MATCH($B7,Actividades!$A$5:$A$17,0))-INDEX(Actividades!$F$5:$F$17,MATCH($B7,Actividades!$A$5:$A$17,0))+1)*20,0)/20))))</f>
        <v>0.2</v>
      </c>
      <c r="H7" s="8" t="str">
        <f aca="false">IF($E7="✘","Ausente: no asistió al daily (sin reporte)",IFERROR(INDEX(Impedimentos!$E$5:$E$60,MATCH(B7&amp;"|"&amp;J7,Impedimentos!$F$5:$F$60,0)),"Sin impedimentos"))</f>
        <v>Sin impedimentos</v>
      </c>
      <c r="I7" s="8" t="str">
        <f aca="false">IF($E7="✘","—",IFERROR(INDEX(Impedimentos!$D$5:$D$60,MATCH(B7&amp;"|"&amp;J7,Impedimentos!$F$5:$F$60,0)),"—"))</f>
        <v>—</v>
      </c>
      <c r="J7" s="12" t="n">
        <f aca="false">INT((ROW()-6)/4)+1</f>
        <v>1</v>
      </c>
    </row>
    <row r="8" customFormat="false" ht="42" hidden="false" customHeight="true" outlineLevel="0" collapsed="false">
      <c r="A8" s="6" t="n">
        <f aca="false">INDEX(Config!$C$12:$C$31,J8)</f>
        <v>46275</v>
      </c>
      <c r="B8" s="7" t="str">
        <f aca="false">INDEX(Actividades!$A$5:$A$17,SUMPRODUCT((Actividades!$C$5:$C$17=D8)*(Actividades!$F$5:$F$17&lt;=J8)*(Actividades!$G$5:$G$17&gt;=J8)*(ROW(Actividades!$C$5:$C$17)-4)))</f>
        <v>SCR-10</v>
      </c>
      <c r="C8" s="8" t="str">
        <f aca="false">INDEX(Actividades!$B$5:$B$17,MATCH($B8,Actividades!$A$5:$A$17,0))</f>
        <v>Elaborar el análisis PESTEL completo de ElDesparche.</v>
      </c>
      <c r="D8" s="8" t="str">
        <f aca="false">INDEX(Config!$A$12:$A$15,MOD(ROW()-6,4)+1)</f>
        <v>ISSABHELLA ALARCON MORENO</v>
      </c>
      <c r="E8" s="9" t="s">
        <v>12</v>
      </c>
      <c r="F8" s="10" t="n">
        <f aca="false">INDEX(Actividades!$L$5:$L$17,MATCH($B8,Actividades!$A$5:$A$17,0))</f>
        <v>3</v>
      </c>
      <c r="G8" s="11" t="n">
        <f aca="false">IF($E8="✘",IF($J8=INDEX(Actividades!$F$5:$F$17,MATCH($B8,Actividades!$A$5:$A$17,0)),0,0),IF($J8=INDEX(Actividades!$G$5:$G$17,MATCH($B8,Actividades!$A$5:$A$17,0)),1,IF(AND($I8&lt;&gt;"—",$J8&gt;INDEX(Actividades!$F$5:$F$17,MATCH($B8,Actividades!$A$5:$A$17,0))),MIN(0,MIN(0.95,ROUND(($J8-INDEX(Actividades!$F$5:$F$17,MATCH($B8,Actividades!$A$5:$A$17,0))+1)/(INDEX(Actividades!$G$5:$G$17,MATCH($B8,Actividades!$A$5:$A$17,0))-INDEX(Actividades!$F$5:$F$17,MATCH($B8,Actividades!$A$5:$A$17,0))+1)*20,0)/20)),MIN(0.95,ROUND(($J8-INDEX(Actividades!$F$5:$F$17,MATCH($B8,Actividades!$A$5:$A$17,0))+1)/(INDEX(Actividades!$G$5:$G$17,MATCH($B8,Actividades!$A$5:$A$17,0))-INDEX(Actividades!$F$5:$F$17,MATCH($B8,Actividades!$A$5:$A$17,0))+1)*20,0)/20))))</f>
        <v>0.15</v>
      </c>
      <c r="H8" s="8" t="str">
        <f aca="false">IF($E8="✘","Ausente: no asistió al daily (sin reporte)",IFERROR(INDEX(Impedimentos!$E$5:$E$60,MATCH(B8&amp;"|"&amp;J8,Impedimentos!$F$5:$F$60,0)),"Sin impedimentos"))</f>
        <v>Sin impedimentos</v>
      </c>
      <c r="I8" s="8" t="str">
        <f aca="false">IF($E8="✘","—",IFERROR(INDEX(Impedimentos!$D$5:$D$60,MATCH(B8&amp;"|"&amp;J8,Impedimentos!$F$5:$F$60,0)),"—"))</f>
        <v>—</v>
      </c>
      <c r="J8" s="12" t="n">
        <f aca="false">INT((ROW()-6)/4)+1</f>
        <v>1</v>
      </c>
    </row>
    <row r="9" customFormat="false" ht="42" hidden="false" customHeight="true" outlineLevel="0" collapsed="false">
      <c r="A9" s="6" t="n">
        <f aca="false">INDEX(Config!$C$12:$C$31,J9)</f>
        <v>46275</v>
      </c>
      <c r="B9" s="7" t="str">
        <f aca="false">INDEX(Actividades!$A$5:$A$17,SUMPRODUCT((Actividades!$C$5:$C$17=D9)*(Actividades!$F$5:$F$17&lt;=J9)*(Actividades!$G$5:$G$17&gt;=J9)*(ROW(Actividades!$C$5:$C$17)-4)))</f>
        <v>SCR-13</v>
      </c>
      <c r="C9" s="8" t="str">
        <f aca="false">INDEX(Actividades!$B$5:$B$17,MATCH($B9,Actividades!$A$5:$A$17,0))</f>
        <v>Elaborar el cronograma, el modelo Iceberg y el apalancamiento de ElDesparche.</v>
      </c>
      <c r="D9" s="8" t="str">
        <f aca="false">INDEX(Config!$A$12:$A$15,MOD(ROW()-6,4)+1)</f>
        <v>VALENTINA ISABEL OSORIO MORAN</v>
      </c>
      <c r="E9" s="9" t="s">
        <v>12</v>
      </c>
      <c r="F9" s="10" t="n">
        <f aca="false">INDEX(Actividades!$L$5:$L$17,MATCH($B9,Actividades!$A$5:$A$17,0))</f>
        <v>5</v>
      </c>
      <c r="G9" s="11" t="n">
        <f aca="false">IF($E9="✘",IF($J9=INDEX(Actividades!$F$5:$F$17,MATCH($B9,Actividades!$A$5:$A$17,0)),0,0),IF($J9=INDEX(Actividades!$G$5:$G$17,MATCH($B9,Actividades!$A$5:$A$17,0)),1,IF(AND($I9&lt;&gt;"—",$J9&gt;INDEX(Actividades!$F$5:$F$17,MATCH($B9,Actividades!$A$5:$A$17,0))),MIN(0,MIN(0.95,ROUND(($J9-INDEX(Actividades!$F$5:$F$17,MATCH($B9,Actividades!$A$5:$A$17,0))+1)/(INDEX(Actividades!$G$5:$G$17,MATCH($B9,Actividades!$A$5:$A$17,0))-INDEX(Actividades!$F$5:$F$17,MATCH($B9,Actividades!$A$5:$A$17,0))+1)*20,0)/20)),MIN(0.95,ROUND(($J9-INDEX(Actividades!$F$5:$F$17,MATCH($B9,Actividades!$A$5:$A$17,0))+1)/(INDEX(Actividades!$G$5:$G$17,MATCH($B9,Actividades!$A$5:$A$17,0))-INDEX(Actividades!$F$5:$F$17,MATCH($B9,Actividades!$A$5:$A$17,0))+1)*20,0)/20))))</f>
        <v>0.15</v>
      </c>
      <c r="H9" s="8" t="str">
        <f aca="false">IF($E9="✘","Ausente: no asistió al daily (sin reporte)",IFERROR(INDEX(Impedimentos!$E$5:$E$60,MATCH(B9&amp;"|"&amp;J9,Impedimentos!$F$5:$F$60,0)),"Sin impedimentos"))</f>
        <v>Sin impedimentos</v>
      </c>
      <c r="I9" s="8" t="str">
        <f aca="false">IF($E9="✘","—",IFERROR(INDEX(Impedimentos!$D$5:$D$60,MATCH(B9&amp;"|"&amp;J9,Impedimentos!$F$5:$F$60,0)),"—"))</f>
        <v>—</v>
      </c>
      <c r="J9" s="12" t="n">
        <f aca="false">INT((ROW()-6)/4)+1</f>
        <v>1</v>
      </c>
    </row>
    <row r="10" customFormat="false" ht="42" hidden="false" customHeight="true" outlineLevel="0" collapsed="false">
      <c r="A10" s="13" t="n">
        <f aca="false">INDEX(Config!$C$12:$C$31,J10)</f>
        <v>46276</v>
      </c>
      <c r="B10" s="14" t="str">
        <f aca="false">INDEX(Actividades!$A$5:$A$17,SUMPRODUCT((Actividades!$C$5:$C$17=D10)*(Actividades!$F$5:$F$17&lt;=J10)*(Actividades!$G$5:$G$17&gt;=J10)*(ROW(Actividades!$C$5:$C$17)-4)))</f>
        <v>SCR-4</v>
      </c>
      <c r="C10" s="15" t="str">
        <f aca="false">INDEX(Actividades!$B$5:$B$17,MATCH($B10,Actividades!$A$5:$A$17,0))</f>
        <v>Crear el repositorio del proyecto en GitHub y agregar a los compañeros como colaboradores para versionar desde el inicio.</v>
      </c>
      <c r="D10" s="15" t="str">
        <f aca="false">INDEX(Config!$A$12:$A$15,MOD(ROW()-6,4)+1)</f>
        <v>EMMANUEL OBANDO SANCHEZ</v>
      </c>
      <c r="E10" s="16" t="s">
        <v>12</v>
      </c>
      <c r="F10" s="17" t="n">
        <f aca="false">INDEX(Actividades!$L$5:$L$17,MATCH($B10,Actividades!$A$5:$A$17,0))</f>
        <v>2</v>
      </c>
      <c r="G10" s="18" t="n">
        <f aca="false">IF($E10="✘",IF($J10=INDEX(Actividades!$F$5:$F$17,MATCH($B10,Actividades!$A$5:$A$17,0)),0,G6),IF($J10=INDEX(Actividades!$G$5:$G$17,MATCH($B10,Actividades!$A$5:$A$17,0)),1,IF(AND($I10&lt;&gt;"—",$J10&gt;INDEX(Actividades!$F$5:$F$17,MATCH($B10,Actividades!$A$5:$A$17,0))),MIN(G6,MIN(0.95,ROUND(($J10-INDEX(Actividades!$F$5:$F$17,MATCH($B10,Actividades!$A$5:$A$17,0))+1)/(INDEX(Actividades!$G$5:$G$17,MATCH($B10,Actividades!$A$5:$A$17,0))-INDEX(Actividades!$F$5:$F$17,MATCH($B10,Actividades!$A$5:$A$17,0))+1)*20,0)/20)),MIN(0.95,ROUND(($J10-INDEX(Actividades!$F$5:$F$17,MATCH($B10,Actividades!$A$5:$A$17,0))+1)/(INDEX(Actividades!$G$5:$G$17,MATCH($B10,Actividades!$A$5:$A$17,0))-INDEX(Actividades!$F$5:$F$17,MATCH($B10,Actividades!$A$5:$A$17,0))+1)*20,0)/20))))</f>
        <v>1</v>
      </c>
      <c r="H10" s="15" t="str">
        <f aca="false">IF($E10="✘","Ausente: no asistió al daily (sin reporte)",IFERROR(INDEX(Impedimentos!$E$5:$E$60,MATCH(B10&amp;"|"&amp;J10,Impedimentos!$F$5:$F$60,0)),"Sin impedimentos"))</f>
        <v>Sin impedimentos</v>
      </c>
      <c r="I10" s="15" t="str">
        <f aca="false">IF($E10="✘","—",IFERROR(INDEX(Impedimentos!$D$5:$D$60,MATCH(B10&amp;"|"&amp;J10,Impedimentos!$F$5:$F$60,0)),"—"))</f>
        <v>—</v>
      </c>
      <c r="J10" s="19" t="n">
        <f aca="false">INT((ROW()-6)/4)+1</f>
        <v>2</v>
      </c>
    </row>
    <row r="11" customFormat="false" ht="42" hidden="false" customHeight="true" outlineLevel="0" collapsed="false">
      <c r="A11" s="13" t="n">
        <f aca="false">INDEX(Config!$C$12:$C$31,J11)</f>
        <v>46276</v>
      </c>
      <c r="B11" s="14" t="str">
        <f aca="false">INDEX(Actividades!$A$5:$A$17,SUMPRODUCT((Actividades!$C$5:$C$17=D11)*(Actividades!$F$5:$F$17&lt;=J11)*(Actividades!$G$5:$G$17&gt;=J11)*(ROW(Actividades!$C$5:$C$17)-4)))</f>
        <v>SCR-7</v>
      </c>
      <c r="C11" s="15" t="str">
        <f aca="false">INDEX(Actividades!$B$5:$B$17,MATCH($B11,Actividades!$A$5:$A$17,0))</f>
        <v>Maquetar la interfaz de usuario (pantallas base de registro e inicio de sesión).</v>
      </c>
      <c r="D11" s="15" t="str">
        <f aca="false">INDEX(Config!$A$12:$A$15,MOD(ROW()-6,4)+1)</f>
        <v>JUAN SEBASTIAN JARAMILLO ORTIZ</v>
      </c>
      <c r="E11" s="16" t="s">
        <v>12</v>
      </c>
      <c r="F11" s="17" t="n">
        <f aca="false">INDEX(Actividades!$L$5:$L$17,MATCH($B11,Actividades!$A$5:$A$17,0))</f>
        <v>1</v>
      </c>
      <c r="G11" s="18" t="n">
        <f aca="false">IF($E11="✘",IF($J11=INDEX(Actividades!$F$5:$F$17,MATCH($B11,Actividades!$A$5:$A$17,0)),0,G7),IF($J11=INDEX(Actividades!$G$5:$G$17,MATCH($B11,Actividades!$A$5:$A$17,0)),1,IF(AND($I11&lt;&gt;"—",$J11&gt;INDEX(Actividades!$F$5:$F$17,MATCH($B11,Actividades!$A$5:$A$17,0))),MIN(G7,MIN(0.95,ROUND(($J11-INDEX(Actividades!$F$5:$F$17,MATCH($B11,Actividades!$A$5:$A$17,0))+1)/(INDEX(Actividades!$G$5:$G$17,MATCH($B11,Actividades!$A$5:$A$17,0))-INDEX(Actividades!$F$5:$F$17,MATCH($B11,Actividades!$A$5:$A$17,0))+1)*20,0)/20)),MIN(0.95,ROUND(($J11-INDEX(Actividades!$F$5:$F$17,MATCH($B11,Actividades!$A$5:$A$17,0))+1)/(INDEX(Actividades!$G$5:$G$17,MATCH($B11,Actividades!$A$5:$A$17,0))-INDEX(Actividades!$F$5:$F$17,MATCH($B11,Actividades!$A$5:$A$17,0))+1)*20,0)/20))))</f>
        <v>0.2</v>
      </c>
      <c r="H11" s="15" t="str">
        <f aca="false">IF($E11="✘","Ausente: no asistió al daily (sin reporte)",IFERROR(INDEX(Impedimentos!$E$5:$E$60,MATCH(B11&amp;"|"&amp;J11,Impedimentos!$F$5:$F$60,0)),"Sin impedimentos"))</f>
        <v>No todos dominan la herramienta de maquetación (Figma/HTML); se dedica tiempo a aprenderla.</v>
      </c>
      <c r="I11" s="15" t="str">
        <f aca="false">IF($E11="✘","—",IFERROR(INDEX(Impedimentos!$D$5:$D$60,MATCH(B11&amp;"|"&amp;J11,Impedimentos!$F$5:$F$60,0)),"—"))</f>
        <v>Conocimiento</v>
      </c>
      <c r="J11" s="19" t="n">
        <f aca="false">INT((ROW()-6)/4)+1</f>
        <v>2</v>
      </c>
    </row>
    <row r="12" customFormat="false" ht="42" hidden="false" customHeight="true" outlineLevel="0" collapsed="false">
      <c r="A12" s="13" t="n">
        <f aca="false">INDEX(Config!$C$12:$C$31,J12)</f>
        <v>46276</v>
      </c>
      <c r="B12" s="14" t="str">
        <f aca="false">INDEX(Actividades!$A$5:$A$17,SUMPRODUCT((Actividades!$C$5:$C$17=D12)*(Actividades!$F$5:$F$17&lt;=J12)*(Actividades!$G$5:$G$17&gt;=J12)*(ROW(Actividades!$C$5:$C$17)-4)))</f>
        <v>SCR-10</v>
      </c>
      <c r="C12" s="15" t="str">
        <f aca="false">INDEX(Actividades!$B$5:$B$17,MATCH($B12,Actividades!$A$5:$A$17,0))</f>
        <v>Elaborar el análisis PESTEL completo de ElDesparche.</v>
      </c>
      <c r="D12" s="15" t="str">
        <f aca="false">INDEX(Config!$A$12:$A$15,MOD(ROW()-6,4)+1)</f>
        <v>ISSABHELLA ALARCON MORENO</v>
      </c>
      <c r="E12" s="16" t="s">
        <v>12</v>
      </c>
      <c r="F12" s="17" t="n">
        <f aca="false">INDEX(Actividades!$L$5:$L$17,MATCH($B12,Actividades!$A$5:$A$17,0))</f>
        <v>3</v>
      </c>
      <c r="G12" s="18" t="n">
        <f aca="false">IF($E12="✘",IF($J12=INDEX(Actividades!$F$5:$F$17,MATCH($B12,Actividades!$A$5:$A$17,0)),0,G8),IF($J12=INDEX(Actividades!$G$5:$G$17,MATCH($B12,Actividades!$A$5:$A$17,0)),1,IF(AND($I12&lt;&gt;"—",$J12&gt;INDEX(Actividades!$F$5:$F$17,MATCH($B12,Actividades!$A$5:$A$17,0))),MIN(G8,MIN(0.95,ROUND(($J12-INDEX(Actividades!$F$5:$F$17,MATCH($B12,Actividades!$A$5:$A$17,0))+1)/(INDEX(Actividades!$G$5:$G$17,MATCH($B12,Actividades!$A$5:$A$17,0))-INDEX(Actividades!$F$5:$F$17,MATCH($B12,Actividades!$A$5:$A$17,0))+1)*20,0)/20)),MIN(0.95,ROUND(($J12-INDEX(Actividades!$F$5:$F$17,MATCH($B12,Actividades!$A$5:$A$17,0))+1)/(INDEX(Actividades!$G$5:$G$17,MATCH($B12,Actividades!$A$5:$A$17,0))-INDEX(Actividades!$F$5:$F$17,MATCH($B12,Actividades!$A$5:$A$17,0))+1)*20,0)/20))))</f>
        <v>0.35</v>
      </c>
      <c r="H12" s="15" t="str">
        <f aca="false">IF($E12="✘","Ausente: no asistió al daily (sin reporte)",IFERROR(INDEX(Impedimentos!$E$5:$E$60,MATCH(B12&amp;"|"&amp;J12,Impedimentos!$F$5:$F$60,0)),"Sin impedimentos"))</f>
        <v>Sin impedimentos</v>
      </c>
      <c r="I12" s="15" t="str">
        <f aca="false">IF($E12="✘","—",IFERROR(INDEX(Impedimentos!$D$5:$D$60,MATCH(B12&amp;"|"&amp;J12,Impedimentos!$F$5:$F$60,0)),"—"))</f>
        <v>—</v>
      </c>
      <c r="J12" s="19" t="n">
        <f aca="false">INT((ROW()-6)/4)+1</f>
        <v>2</v>
      </c>
    </row>
    <row r="13" customFormat="false" ht="42" hidden="false" customHeight="true" outlineLevel="0" collapsed="false">
      <c r="A13" s="13" t="n">
        <f aca="false">INDEX(Config!$C$12:$C$31,J13)</f>
        <v>46276</v>
      </c>
      <c r="B13" s="14" t="str">
        <f aca="false">INDEX(Actividades!$A$5:$A$17,SUMPRODUCT((Actividades!$C$5:$C$17=D13)*(Actividades!$F$5:$F$17&lt;=J13)*(Actividades!$G$5:$G$17&gt;=J13)*(ROW(Actividades!$C$5:$C$17)-4)))</f>
        <v>SCR-13</v>
      </c>
      <c r="C13" s="15" t="str">
        <f aca="false">INDEX(Actividades!$B$5:$B$17,MATCH($B13,Actividades!$A$5:$A$17,0))</f>
        <v>Elaborar el cronograma, el modelo Iceberg y el apalancamiento de ElDesparche.</v>
      </c>
      <c r="D13" s="15" t="str">
        <f aca="false">INDEX(Config!$A$12:$A$15,MOD(ROW()-6,4)+1)</f>
        <v>VALENTINA ISABEL OSORIO MORAN</v>
      </c>
      <c r="E13" s="16" t="s">
        <v>12</v>
      </c>
      <c r="F13" s="17" t="n">
        <f aca="false">INDEX(Actividades!$L$5:$L$17,MATCH($B13,Actividades!$A$5:$A$17,0))</f>
        <v>5</v>
      </c>
      <c r="G13" s="18" t="n">
        <f aca="false">IF($E13="✘",IF($J13=INDEX(Actividades!$F$5:$F$17,MATCH($B13,Actividades!$A$5:$A$17,0)),0,G9),IF($J13=INDEX(Actividades!$G$5:$G$17,MATCH($B13,Actividades!$A$5:$A$17,0)),1,IF(AND($I13&lt;&gt;"—",$J13&gt;INDEX(Actividades!$F$5:$F$17,MATCH($B13,Actividades!$A$5:$A$17,0))),MIN(G9,MIN(0.95,ROUND(($J13-INDEX(Actividades!$F$5:$F$17,MATCH($B13,Actividades!$A$5:$A$17,0))+1)/(INDEX(Actividades!$G$5:$G$17,MATCH($B13,Actividades!$A$5:$A$17,0))-INDEX(Actividades!$F$5:$F$17,MATCH($B13,Actividades!$A$5:$A$17,0))+1)*20,0)/20)),MIN(0.95,ROUND(($J13-INDEX(Actividades!$F$5:$F$17,MATCH($B13,Actividades!$A$5:$A$17,0))+1)/(INDEX(Actividades!$G$5:$G$17,MATCH($B13,Actividades!$A$5:$A$17,0))-INDEX(Actividades!$F$5:$F$17,MATCH($B13,Actividades!$A$5:$A$17,0))+1)*20,0)/20))))</f>
        <v>0.15</v>
      </c>
      <c r="H13" s="15" t="str">
        <f aca="false">IF($E13="✘","Ausente: no asistió al daily (sin reporte)",IFERROR(INDEX(Impedimentos!$E$5:$E$60,MATCH(B13&amp;"|"&amp;J13,Impedimentos!$F$5:$F$60,0)),"Sin impedimentos"))</f>
        <v>Equipo nuevo en Jira: dudas para crear, estimar y actualizar actividades; el avance no se registra al día.</v>
      </c>
      <c r="I13" s="15" t="str">
        <f aca="false">IF($E13="✘","—",IFERROR(INDEX(Impedimentos!$D$5:$D$60,MATCH(B13&amp;"|"&amp;J13,Impedimentos!$F$5:$F$60,0)),"—"))</f>
        <v>Conocimiento</v>
      </c>
      <c r="J13" s="19" t="n">
        <f aca="false">INT((ROW()-6)/4)+1</f>
        <v>2</v>
      </c>
    </row>
    <row r="14" customFormat="false" ht="42" hidden="false" customHeight="true" outlineLevel="0" collapsed="false">
      <c r="A14" s="6" t="n">
        <f aca="false">INDEX(Config!$C$12:$C$31,J14)</f>
        <v>46279</v>
      </c>
      <c r="B14" s="7" t="str">
        <f aca="false">INDEX(Actividades!$A$5:$A$17,SUMPRODUCT((Actividades!$C$5:$C$17=D14)*(Actividades!$F$5:$F$17&lt;=J14)*(Actividades!$G$5:$G$17&gt;=J14)*(ROW(Actividades!$C$5:$C$17)-4)))</f>
        <v>SCR-5</v>
      </c>
      <c r="C14" s="8" t="str">
        <f aca="false">INDEX(Actividades!$B$5:$B$17,MATCH($B14,Actividades!$A$5:$A$17,0))</f>
        <v>Diseñar el modelo de base de datos (entidades, relaciones y llaves) del sistema de eventos y reservas.</v>
      </c>
      <c r="D14" s="8" t="str">
        <f aca="false">INDEX(Config!$A$12:$A$15,MOD(ROW()-6,4)+1)</f>
        <v>EMMANUEL OBANDO SANCHEZ</v>
      </c>
      <c r="E14" s="9" t="s">
        <v>12</v>
      </c>
      <c r="F14" s="10" t="n">
        <f aca="false">INDEX(Actividades!$L$5:$L$17,MATCH($B14,Actividades!$A$5:$A$17,0))</f>
        <v>3</v>
      </c>
      <c r="G14" s="11" t="n">
        <f aca="false">IF($E14="✘",IF($J14=INDEX(Actividades!$F$5:$F$17,MATCH($B14,Actividades!$A$5:$A$17,0)),0,G10),IF($J14=INDEX(Actividades!$G$5:$G$17,MATCH($B14,Actividades!$A$5:$A$17,0)),1,IF(AND($I14&lt;&gt;"—",$J14&gt;INDEX(Actividades!$F$5:$F$17,MATCH($B14,Actividades!$A$5:$A$17,0))),MIN(G10,MIN(0.95,ROUND(($J14-INDEX(Actividades!$F$5:$F$17,MATCH($B14,Actividades!$A$5:$A$17,0))+1)/(INDEX(Actividades!$G$5:$G$17,MATCH($B14,Actividades!$A$5:$A$17,0))-INDEX(Actividades!$F$5:$F$17,MATCH($B14,Actividades!$A$5:$A$17,0))+1)*20,0)/20)),MIN(0.95,ROUND(($J14-INDEX(Actividades!$F$5:$F$17,MATCH($B14,Actividades!$A$5:$A$17,0))+1)/(INDEX(Actividades!$G$5:$G$17,MATCH($B14,Actividades!$A$5:$A$17,0))-INDEX(Actividades!$F$5:$F$17,MATCH($B14,Actividades!$A$5:$A$17,0))+1)*20,0)/20))))</f>
        <v>0.15</v>
      </c>
      <c r="H14" s="8" t="str">
        <f aca="false">IF($E14="✘","Ausente: no asistió al daily (sin reporte)",IFERROR(INDEX(Impedimentos!$E$5:$E$60,MATCH(B14&amp;"|"&amp;J14,Impedimentos!$F$5:$F$60,0)),"Sin impedimentos"))</f>
        <v>La materia de BD la dictan 2 profesores con criterios distintos (notación y normalización); una parte del equipo sigue a cada uno.</v>
      </c>
      <c r="I14" s="8" t="str">
        <f aca="false">IF($E14="✘","—",IFERROR(INDEX(Impedimentos!$D$5:$D$60,MATCH(B14&amp;"|"&amp;J14,Impedimentos!$F$5:$F$60,0)),"—"))</f>
        <v>Conflicto académico (BD)</v>
      </c>
      <c r="J14" s="12" t="n">
        <f aca="false">INT((ROW()-6)/4)+1</f>
        <v>3</v>
      </c>
    </row>
    <row r="15" customFormat="false" ht="42" hidden="false" customHeight="true" outlineLevel="0" collapsed="false">
      <c r="A15" s="6" t="n">
        <f aca="false">INDEX(Config!$C$12:$C$31,J15)</f>
        <v>46279</v>
      </c>
      <c r="B15" s="7" t="str">
        <f aca="false">INDEX(Actividades!$A$5:$A$17,SUMPRODUCT((Actividades!$C$5:$C$17=D15)*(Actividades!$F$5:$F$17&lt;=J15)*(Actividades!$G$5:$G$17&gt;=J15)*(ROW(Actividades!$C$5:$C$17)-4)))</f>
        <v>SCR-7</v>
      </c>
      <c r="C15" s="8" t="str">
        <f aca="false">INDEX(Actividades!$B$5:$B$17,MATCH($B15,Actividades!$A$5:$A$17,0))</f>
        <v>Maquetar la interfaz de usuario (pantallas base de registro e inicio de sesión).</v>
      </c>
      <c r="D15" s="8" t="str">
        <f aca="false">INDEX(Config!$A$12:$A$15,MOD(ROW()-6,4)+1)</f>
        <v>JUAN SEBASTIAN JARAMILLO ORTIZ</v>
      </c>
      <c r="E15" s="9" t="s">
        <v>12</v>
      </c>
      <c r="F15" s="10" t="n">
        <f aca="false">INDEX(Actividades!$L$5:$L$17,MATCH($B15,Actividades!$A$5:$A$17,0))</f>
        <v>1</v>
      </c>
      <c r="G15" s="11" t="n">
        <f aca="false">IF($E15="✘",IF($J15=INDEX(Actividades!$F$5:$F$17,MATCH($B15,Actividades!$A$5:$A$17,0)),0,G11),IF($J15=INDEX(Actividades!$G$5:$G$17,MATCH($B15,Actividades!$A$5:$A$17,0)),1,IF(AND($I15&lt;&gt;"—",$J15&gt;INDEX(Actividades!$F$5:$F$17,MATCH($B15,Actividades!$A$5:$A$17,0))),MIN(G11,MIN(0.95,ROUND(($J15-INDEX(Actividades!$F$5:$F$17,MATCH($B15,Actividades!$A$5:$A$17,0))+1)/(INDEX(Actividades!$G$5:$G$17,MATCH($B15,Actividades!$A$5:$A$17,0))-INDEX(Actividades!$F$5:$F$17,MATCH($B15,Actividades!$A$5:$A$17,0))+1)*20,0)/20)),MIN(0.95,ROUND(($J15-INDEX(Actividades!$F$5:$F$17,MATCH($B15,Actividades!$A$5:$A$17,0))+1)/(INDEX(Actividades!$G$5:$G$17,MATCH($B15,Actividades!$A$5:$A$17,0))-INDEX(Actividades!$F$5:$F$17,MATCH($B15,Actividades!$A$5:$A$17,0))+1)*20,0)/20))))</f>
        <v>0.2</v>
      </c>
      <c r="H15" s="8" t="str">
        <f aca="false">IF($E15="✘","Ausente: no asistió al daily (sin reporte)",IFERROR(INDEX(Impedimentos!$E$5:$E$60,MATCH(B15&amp;"|"&amp;J15,Impedimentos!$F$5:$F$60,0)),"Sin impedimentos"))</f>
        <v>Sin lineamientos UI definidos (paleta, tipografía, componentes); nadie decide.</v>
      </c>
      <c r="I15" s="8" t="str">
        <f aca="false">IF($E15="✘","—",IFERROR(INDEX(Impedimentos!$D$5:$D$60,MATCH(B15&amp;"|"&amp;J15,Impedimentos!$F$5:$F$60,0)),"—"))</f>
        <v>Toma de decisiones</v>
      </c>
      <c r="J15" s="12" t="n">
        <f aca="false">INT((ROW()-6)/4)+1</f>
        <v>3</v>
      </c>
    </row>
    <row r="16" customFormat="false" ht="42" hidden="false" customHeight="true" outlineLevel="0" collapsed="false">
      <c r="A16" s="6" t="n">
        <f aca="false">INDEX(Config!$C$12:$C$31,J16)</f>
        <v>46279</v>
      </c>
      <c r="B16" s="7" t="str">
        <f aca="false">INDEX(Actividades!$A$5:$A$17,SUMPRODUCT((Actividades!$C$5:$C$17=D16)*(Actividades!$F$5:$F$17&lt;=J16)*(Actividades!$G$5:$G$17&gt;=J16)*(ROW(Actividades!$C$5:$C$17)-4)))</f>
        <v>SCR-10</v>
      </c>
      <c r="C16" s="8" t="str">
        <f aca="false">INDEX(Actividades!$B$5:$B$17,MATCH($B16,Actividades!$A$5:$A$17,0))</f>
        <v>Elaborar el análisis PESTEL completo de ElDesparche.</v>
      </c>
      <c r="D16" s="8" t="str">
        <f aca="false">INDEX(Config!$A$12:$A$15,MOD(ROW()-6,4)+1)</f>
        <v>ISSABHELLA ALARCON MORENO</v>
      </c>
      <c r="E16" s="9" t="s">
        <v>12</v>
      </c>
      <c r="F16" s="10" t="n">
        <f aca="false">INDEX(Actividades!$L$5:$L$17,MATCH($B16,Actividades!$A$5:$A$17,0))</f>
        <v>3</v>
      </c>
      <c r="G16" s="11" t="n">
        <f aca="false">IF($E16="✘",IF($J16=INDEX(Actividades!$F$5:$F$17,MATCH($B16,Actividades!$A$5:$A$17,0)),0,G12),IF($J16=INDEX(Actividades!$G$5:$G$17,MATCH($B16,Actividades!$A$5:$A$17,0)),1,IF(AND($I16&lt;&gt;"—",$J16&gt;INDEX(Actividades!$F$5:$F$17,MATCH($B16,Actividades!$A$5:$A$17,0))),MIN(G12,MIN(0.95,ROUND(($J16-INDEX(Actividades!$F$5:$F$17,MATCH($B16,Actividades!$A$5:$A$17,0))+1)/(INDEX(Actividades!$G$5:$G$17,MATCH($B16,Actividades!$A$5:$A$17,0))-INDEX(Actividades!$F$5:$F$17,MATCH($B16,Actividades!$A$5:$A$17,0))+1)*20,0)/20)),MIN(0.95,ROUND(($J16-INDEX(Actividades!$F$5:$F$17,MATCH($B16,Actividades!$A$5:$A$17,0))+1)/(INDEX(Actividades!$G$5:$G$17,MATCH($B16,Actividades!$A$5:$A$17,0))-INDEX(Actividades!$F$5:$F$17,MATCH($B16,Actividades!$A$5:$A$17,0))+1)*20,0)/20))))</f>
        <v>0.35</v>
      </c>
      <c r="H16" s="8" t="str">
        <f aca="false">IF($E16="✘","Ausente: no asistió al daily (sin reporte)",IFERROR(INDEX(Impedimentos!$E$5:$E$60,MATCH(B16&amp;"|"&amp;J16,Impedimentos!$F$5:$F$60,0)),"Sin impedimentos"))</f>
        <v>Dudas sobre alcance y metodología del PESTEL (qué factores incluir y con qué fuentes).</v>
      </c>
      <c r="I16" s="8" t="str">
        <f aca="false">IF($E16="✘","—",IFERROR(INDEX(Impedimentos!$D$5:$D$60,MATCH(B16&amp;"|"&amp;J16,Impedimentos!$F$5:$F$60,0)),"—"))</f>
        <v>Conocimiento</v>
      </c>
      <c r="J16" s="12" t="n">
        <f aca="false">INT((ROW()-6)/4)+1</f>
        <v>3</v>
      </c>
    </row>
    <row r="17" customFormat="false" ht="42" hidden="false" customHeight="true" outlineLevel="0" collapsed="false">
      <c r="A17" s="6" t="n">
        <f aca="false">INDEX(Config!$C$12:$C$31,J17)</f>
        <v>46279</v>
      </c>
      <c r="B17" s="7" t="str">
        <f aca="false">INDEX(Actividades!$A$5:$A$17,SUMPRODUCT((Actividades!$C$5:$C$17=D17)*(Actividades!$F$5:$F$17&lt;=J17)*(Actividades!$G$5:$G$17&gt;=J17)*(ROW(Actividades!$C$5:$C$17)-4)))</f>
        <v>SCR-13</v>
      </c>
      <c r="C17" s="8" t="str">
        <f aca="false">INDEX(Actividades!$B$5:$B$17,MATCH($B17,Actividades!$A$5:$A$17,0))</f>
        <v>Elaborar el cronograma, el modelo Iceberg y el apalancamiento de ElDesparche.</v>
      </c>
      <c r="D17" s="8" t="str">
        <f aca="false">INDEX(Config!$A$12:$A$15,MOD(ROW()-6,4)+1)</f>
        <v>VALENTINA ISABEL OSORIO MORAN</v>
      </c>
      <c r="E17" s="9" t="s">
        <v>12</v>
      </c>
      <c r="F17" s="10" t="n">
        <f aca="false">INDEX(Actividades!$L$5:$L$17,MATCH($B17,Actividades!$A$5:$A$17,0))</f>
        <v>5</v>
      </c>
      <c r="G17" s="11" t="n">
        <f aca="false">IF($E17="✘",IF($J17=INDEX(Actividades!$F$5:$F$17,MATCH($B17,Actividades!$A$5:$A$17,0)),0,G13),IF($J17=INDEX(Actividades!$G$5:$G$17,MATCH($B17,Actividades!$A$5:$A$17,0)),1,IF(AND($I17&lt;&gt;"—",$J17&gt;INDEX(Actividades!$F$5:$F$17,MATCH($B17,Actividades!$A$5:$A$17,0))),MIN(G13,MIN(0.95,ROUND(($J17-INDEX(Actividades!$F$5:$F$17,MATCH($B17,Actividades!$A$5:$A$17,0))+1)/(INDEX(Actividades!$G$5:$G$17,MATCH($B17,Actividades!$A$5:$A$17,0))-INDEX(Actividades!$F$5:$F$17,MATCH($B17,Actividades!$A$5:$A$17,0))+1)*20,0)/20)),MIN(0.95,ROUND(($J17-INDEX(Actividades!$F$5:$F$17,MATCH($B17,Actividades!$A$5:$A$17,0))+1)/(INDEX(Actividades!$G$5:$G$17,MATCH($B17,Actividades!$A$5:$A$17,0))-INDEX(Actividades!$F$5:$F$17,MATCH($B17,Actividades!$A$5:$A$17,0))+1)*20,0)/20))))</f>
        <v>0.5</v>
      </c>
      <c r="H17" s="8" t="str">
        <f aca="false">IF($E17="✘","Ausente: no asistió al daily (sin reporte)",IFERROR(INDEX(Impedimentos!$E$5:$E$60,MATCH(B17&amp;"|"&amp;J17,Impedimentos!$F$5:$F$60,0)),"Sin impedimentos"))</f>
        <v>Sin impedimentos</v>
      </c>
      <c r="I17" s="8" t="str">
        <f aca="false">IF($E17="✘","—",IFERROR(INDEX(Impedimentos!$D$5:$D$60,MATCH(B17&amp;"|"&amp;J17,Impedimentos!$F$5:$F$60,0)),"—"))</f>
        <v>—</v>
      </c>
      <c r="J17" s="12" t="n">
        <f aca="false">INT((ROW()-6)/4)+1</f>
        <v>3</v>
      </c>
    </row>
    <row r="18" customFormat="false" ht="42" hidden="false" customHeight="true" outlineLevel="0" collapsed="false">
      <c r="A18" s="13" t="n">
        <f aca="false">INDEX(Config!$C$12:$C$31,J18)</f>
        <v>46280</v>
      </c>
      <c r="B18" s="14" t="str">
        <f aca="false">INDEX(Actividades!$A$5:$A$17,SUMPRODUCT((Actividades!$C$5:$C$17=D18)*(Actividades!$F$5:$F$17&lt;=J18)*(Actividades!$G$5:$G$17&gt;=J18)*(ROW(Actividades!$C$5:$C$17)-4)))</f>
        <v>SCR-5</v>
      </c>
      <c r="C18" s="15" t="str">
        <f aca="false">INDEX(Actividades!$B$5:$B$17,MATCH($B18,Actividades!$A$5:$A$17,0))</f>
        <v>Diseñar el modelo de base de datos (entidades, relaciones y llaves) del sistema de eventos y reservas.</v>
      </c>
      <c r="D18" s="15" t="str">
        <f aca="false">INDEX(Config!$A$12:$A$15,MOD(ROW()-6,4)+1)</f>
        <v>EMMANUEL OBANDO SANCHEZ</v>
      </c>
      <c r="E18" s="16" t="s">
        <v>13</v>
      </c>
      <c r="F18" s="17" t="n">
        <f aca="false">INDEX(Actividades!$L$5:$L$17,MATCH($B18,Actividades!$A$5:$A$17,0))</f>
        <v>3</v>
      </c>
      <c r="G18" s="18" t="n">
        <f aca="false">IF($E18="✘",IF($J18=INDEX(Actividades!$F$5:$F$17,MATCH($B18,Actividades!$A$5:$A$17,0)),0,G14),IF($J18=INDEX(Actividades!$G$5:$G$17,MATCH($B18,Actividades!$A$5:$A$17,0)),1,IF(AND($I18&lt;&gt;"—",$J18&gt;INDEX(Actividades!$F$5:$F$17,MATCH($B18,Actividades!$A$5:$A$17,0))),MIN(G14,MIN(0.95,ROUND(($J18-INDEX(Actividades!$F$5:$F$17,MATCH($B18,Actividades!$A$5:$A$17,0))+1)/(INDEX(Actividades!$G$5:$G$17,MATCH($B18,Actividades!$A$5:$A$17,0))-INDEX(Actividades!$F$5:$F$17,MATCH($B18,Actividades!$A$5:$A$17,0))+1)*20,0)/20)),MIN(0.95,ROUND(($J18-INDEX(Actividades!$F$5:$F$17,MATCH($B18,Actividades!$A$5:$A$17,0))+1)/(INDEX(Actividades!$G$5:$G$17,MATCH($B18,Actividades!$A$5:$A$17,0))-INDEX(Actividades!$F$5:$F$17,MATCH($B18,Actividades!$A$5:$A$17,0))+1)*20,0)/20))))</f>
        <v>0.15</v>
      </c>
      <c r="H18" s="15" t="str">
        <f aca="false">IF($E18="✘","Ausente: no asistió al daily (sin reporte)",IFERROR(INDEX(Impedimentos!$E$5:$E$60,MATCH(B18&amp;"|"&amp;J18,Impedimentos!$F$5:$F$60,0)),"Sin impedimentos"))</f>
        <v>Ausente: no asistió al daily (sin reporte)</v>
      </c>
      <c r="I18" s="15" t="str">
        <f aca="false">IF($E18="✘","—",IFERROR(INDEX(Impedimentos!$D$5:$D$60,MATCH(B18&amp;"|"&amp;J18,Impedimentos!$F$5:$F$60,0)),"—"))</f>
        <v>—</v>
      </c>
      <c r="J18" s="19" t="n">
        <f aca="false">INT((ROW()-6)/4)+1</f>
        <v>4</v>
      </c>
    </row>
    <row r="19" customFormat="false" ht="42" hidden="false" customHeight="true" outlineLevel="0" collapsed="false">
      <c r="A19" s="13" t="n">
        <f aca="false">INDEX(Config!$C$12:$C$31,J19)</f>
        <v>46280</v>
      </c>
      <c r="B19" s="14" t="str">
        <f aca="false">INDEX(Actividades!$A$5:$A$17,SUMPRODUCT((Actividades!$C$5:$C$17=D19)*(Actividades!$F$5:$F$17&lt;=J19)*(Actividades!$G$5:$G$17&gt;=J19)*(ROW(Actividades!$C$5:$C$17)-4)))</f>
        <v>SCR-7</v>
      </c>
      <c r="C19" s="15" t="str">
        <f aca="false">INDEX(Actividades!$B$5:$B$17,MATCH($B19,Actividades!$A$5:$A$17,0))</f>
        <v>Maquetar la interfaz de usuario (pantallas base de registro e inicio de sesión).</v>
      </c>
      <c r="D19" s="15" t="str">
        <f aca="false">INDEX(Config!$A$12:$A$15,MOD(ROW()-6,4)+1)</f>
        <v>JUAN SEBASTIAN JARAMILLO ORTIZ</v>
      </c>
      <c r="E19" s="16" t="s">
        <v>12</v>
      </c>
      <c r="F19" s="17" t="n">
        <f aca="false">INDEX(Actividades!$L$5:$L$17,MATCH($B19,Actividades!$A$5:$A$17,0))</f>
        <v>1</v>
      </c>
      <c r="G19" s="18" t="n">
        <f aca="false">IF($E19="✘",IF($J19=INDEX(Actividades!$F$5:$F$17,MATCH($B19,Actividades!$A$5:$A$17,0)),0,G15),IF($J19=INDEX(Actividades!$G$5:$G$17,MATCH($B19,Actividades!$A$5:$A$17,0)),1,IF(AND($I19&lt;&gt;"—",$J19&gt;INDEX(Actividades!$F$5:$F$17,MATCH($B19,Actividades!$A$5:$A$17,0))),MIN(G15,MIN(0.95,ROUND(($J19-INDEX(Actividades!$F$5:$F$17,MATCH($B19,Actividades!$A$5:$A$17,0))+1)/(INDEX(Actividades!$G$5:$G$17,MATCH($B19,Actividades!$A$5:$A$17,0))-INDEX(Actividades!$F$5:$F$17,MATCH($B19,Actividades!$A$5:$A$17,0))+1)*20,0)/20)),MIN(0.95,ROUND(($J19-INDEX(Actividades!$F$5:$F$17,MATCH($B19,Actividades!$A$5:$A$17,0))+1)/(INDEX(Actividades!$G$5:$G$17,MATCH($B19,Actividades!$A$5:$A$17,0))-INDEX(Actividades!$F$5:$F$17,MATCH($B19,Actividades!$A$5:$A$17,0))+1)*20,0)/20))))</f>
        <v>0.8</v>
      </c>
      <c r="H19" s="15" t="str">
        <f aca="false">IF($E19="✘","Ausente: no asistió al daily (sin reporte)",IFERROR(INDEX(Impedimentos!$E$5:$E$60,MATCH(B19&amp;"|"&amp;J19,Impedimentos!$F$5:$F$60,0)),"Sin impedimentos"))</f>
        <v>Sin impedimentos</v>
      </c>
      <c r="I19" s="15" t="str">
        <f aca="false">IF($E19="✘","—",IFERROR(INDEX(Impedimentos!$D$5:$D$60,MATCH(B19&amp;"|"&amp;J19,Impedimentos!$F$5:$F$60,0)),"—"))</f>
        <v>—</v>
      </c>
      <c r="J19" s="19" t="n">
        <f aca="false">INT((ROW()-6)/4)+1</f>
        <v>4</v>
      </c>
    </row>
    <row r="20" customFormat="false" ht="42" hidden="false" customHeight="true" outlineLevel="0" collapsed="false">
      <c r="A20" s="13" t="n">
        <f aca="false">INDEX(Config!$C$12:$C$31,J20)</f>
        <v>46280</v>
      </c>
      <c r="B20" s="14" t="str">
        <f aca="false">INDEX(Actividades!$A$5:$A$17,SUMPRODUCT((Actividades!$C$5:$C$17=D20)*(Actividades!$F$5:$F$17&lt;=J20)*(Actividades!$G$5:$G$17&gt;=J20)*(ROW(Actividades!$C$5:$C$17)-4)))</f>
        <v>SCR-10</v>
      </c>
      <c r="C20" s="15" t="str">
        <f aca="false">INDEX(Actividades!$B$5:$B$17,MATCH($B20,Actividades!$A$5:$A$17,0))</f>
        <v>Elaborar el análisis PESTEL completo de ElDesparche.</v>
      </c>
      <c r="D20" s="15" t="str">
        <f aca="false">INDEX(Config!$A$12:$A$15,MOD(ROW()-6,4)+1)</f>
        <v>ISSABHELLA ALARCON MORENO</v>
      </c>
      <c r="E20" s="16" t="s">
        <v>12</v>
      </c>
      <c r="F20" s="17" t="n">
        <f aca="false">INDEX(Actividades!$L$5:$L$17,MATCH($B20,Actividades!$A$5:$A$17,0))</f>
        <v>3</v>
      </c>
      <c r="G20" s="18" t="n">
        <f aca="false">IF($E20="✘",IF($J20=INDEX(Actividades!$F$5:$F$17,MATCH($B20,Actividades!$A$5:$A$17,0)),0,G16),IF($J20=INDEX(Actividades!$G$5:$G$17,MATCH($B20,Actividades!$A$5:$A$17,0)),1,IF(AND($I20&lt;&gt;"—",$J20&gt;INDEX(Actividades!$F$5:$F$17,MATCH($B20,Actividades!$A$5:$A$17,0))),MIN(G16,MIN(0.95,ROUND(($J20-INDEX(Actividades!$F$5:$F$17,MATCH($B20,Actividades!$A$5:$A$17,0))+1)/(INDEX(Actividades!$G$5:$G$17,MATCH($B20,Actividades!$A$5:$A$17,0))-INDEX(Actividades!$F$5:$F$17,MATCH($B20,Actividades!$A$5:$A$17,0))+1)*20,0)/20)),MIN(0.95,ROUND(($J20-INDEX(Actividades!$F$5:$F$17,MATCH($B20,Actividades!$A$5:$A$17,0))+1)/(INDEX(Actividades!$G$5:$G$17,MATCH($B20,Actividades!$A$5:$A$17,0))-INDEX(Actividades!$F$5:$F$17,MATCH($B20,Actividades!$A$5:$A$17,0))+1)*20,0)/20))))</f>
        <v>0.65</v>
      </c>
      <c r="H20" s="15" t="str">
        <f aca="false">IF($E20="✘","Ausente: no asistió al daily (sin reporte)",IFERROR(INDEX(Impedimentos!$E$5:$E$60,MATCH(B20&amp;"|"&amp;J20,Impedimentos!$F$5:$F$60,0)),"Sin impedimentos"))</f>
        <v>Sin impedimentos</v>
      </c>
      <c r="I20" s="15" t="str">
        <f aca="false">IF($E20="✘","—",IFERROR(INDEX(Impedimentos!$D$5:$D$60,MATCH(B20&amp;"|"&amp;J20,Impedimentos!$F$5:$F$60,0)),"—"))</f>
        <v>—</v>
      </c>
      <c r="J20" s="19" t="n">
        <f aca="false">INT((ROW()-6)/4)+1</f>
        <v>4</v>
      </c>
    </row>
    <row r="21" customFormat="false" ht="42" hidden="false" customHeight="true" outlineLevel="0" collapsed="false">
      <c r="A21" s="13" t="n">
        <f aca="false">INDEX(Config!$C$12:$C$31,J21)</f>
        <v>46280</v>
      </c>
      <c r="B21" s="14" t="str">
        <f aca="false">INDEX(Actividades!$A$5:$A$17,SUMPRODUCT((Actividades!$C$5:$C$17=D21)*(Actividades!$F$5:$F$17&lt;=J21)*(Actividades!$G$5:$G$17&gt;=J21)*(ROW(Actividades!$C$5:$C$17)-4)))</f>
        <v>SCR-13</v>
      </c>
      <c r="C21" s="15" t="str">
        <f aca="false">INDEX(Actividades!$B$5:$B$17,MATCH($B21,Actividades!$A$5:$A$17,0))</f>
        <v>Elaborar el cronograma, el modelo Iceberg y el apalancamiento de ElDesparche.</v>
      </c>
      <c r="D21" s="15" t="str">
        <f aca="false">INDEX(Config!$A$12:$A$15,MOD(ROW()-6,4)+1)</f>
        <v>VALENTINA ISABEL OSORIO MORAN</v>
      </c>
      <c r="E21" s="16" t="s">
        <v>12</v>
      </c>
      <c r="F21" s="17" t="n">
        <f aca="false">INDEX(Actividades!$L$5:$L$17,MATCH($B21,Actividades!$A$5:$A$17,0))</f>
        <v>5</v>
      </c>
      <c r="G21" s="18" t="n">
        <f aca="false">IF($E21="✘",IF($J21=INDEX(Actividades!$F$5:$F$17,MATCH($B21,Actividades!$A$5:$A$17,0)),0,G17),IF($J21=INDEX(Actividades!$G$5:$G$17,MATCH($B21,Actividades!$A$5:$A$17,0)),1,IF(AND($I21&lt;&gt;"—",$J21&gt;INDEX(Actividades!$F$5:$F$17,MATCH($B21,Actividades!$A$5:$A$17,0))),MIN(G17,MIN(0.95,ROUND(($J21-INDEX(Actividades!$F$5:$F$17,MATCH($B21,Actividades!$A$5:$A$17,0))+1)/(INDEX(Actividades!$G$5:$G$17,MATCH($B21,Actividades!$A$5:$A$17,0))-INDEX(Actividades!$F$5:$F$17,MATCH($B21,Actividades!$A$5:$A$17,0))+1)*20,0)/20)),MIN(0.95,ROUND(($J21-INDEX(Actividades!$F$5:$F$17,MATCH($B21,Actividades!$A$5:$A$17,0))+1)/(INDEX(Actividades!$G$5:$G$17,MATCH($B21,Actividades!$A$5:$A$17,0))-INDEX(Actividades!$F$5:$F$17,MATCH($B21,Actividades!$A$5:$A$17,0))+1)*20,0)/20))))</f>
        <v>0.5</v>
      </c>
      <c r="H21" s="15" t="str">
        <f aca="false">IF($E21="✘","Ausente: no asistió al daily (sin reporte)",IFERROR(INDEX(Impedimentos!$E$5:$E$60,MATCH(B21&amp;"|"&amp;J21,Impedimentos!$F$5:$F$60,0)),"Sin impedimentos"))</f>
        <v>Sin carpeta ni plantillas compartidas para los entregables; los documentos quedan dispersos entre integrantes.</v>
      </c>
      <c r="I21" s="15" t="str">
        <f aca="false">IF($E21="✘","—",IFERROR(INDEX(Impedimentos!$D$5:$D$60,MATCH(B21&amp;"|"&amp;J21,Impedimentos!$F$5:$F$60,0)),"—"))</f>
        <v>Estructura del proyecto</v>
      </c>
      <c r="J21" s="19" t="n">
        <f aca="false">INT((ROW()-6)/4)+1</f>
        <v>4</v>
      </c>
    </row>
    <row r="22" customFormat="false" ht="42" hidden="false" customHeight="true" outlineLevel="0" collapsed="false">
      <c r="A22" s="6" t="n">
        <f aca="false">INDEX(Config!$C$12:$C$31,J22)</f>
        <v>46281</v>
      </c>
      <c r="B22" s="7" t="str">
        <f aca="false">INDEX(Actividades!$A$5:$A$17,SUMPRODUCT((Actividades!$C$5:$C$17=D22)*(Actividades!$F$5:$F$17&lt;=J22)*(Actividades!$G$5:$G$17&gt;=J22)*(ROW(Actividades!$C$5:$C$17)-4)))</f>
        <v>SCR-5</v>
      </c>
      <c r="C22" s="8" t="str">
        <f aca="false">INDEX(Actividades!$B$5:$B$17,MATCH($B22,Actividades!$A$5:$A$17,0))</f>
        <v>Diseñar el modelo de base de datos (entidades, relaciones y llaves) del sistema de eventos y reservas.</v>
      </c>
      <c r="D22" s="8" t="str">
        <f aca="false">INDEX(Config!$A$12:$A$15,MOD(ROW()-6,4)+1)</f>
        <v>EMMANUEL OBANDO SANCHEZ</v>
      </c>
      <c r="E22" s="9" t="s">
        <v>12</v>
      </c>
      <c r="F22" s="10" t="n">
        <f aca="false">INDEX(Actividades!$L$5:$L$17,MATCH($B22,Actividades!$A$5:$A$17,0))</f>
        <v>3</v>
      </c>
      <c r="G22" s="11" t="n">
        <f aca="false">IF($E22="✘",IF($J22=INDEX(Actividades!$F$5:$F$17,MATCH($B22,Actividades!$A$5:$A$17,0)),0,G18),IF($J22=INDEX(Actividades!$G$5:$G$17,MATCH($B22,Actividades!$A$5:$A$17,0)),1,IF(AND($I22&lt;&gt;"—",$J22&gt;INDEX(Actividades!$F$5:$F$17,MATCH($B22,Actividades!$A$5:$A$17,0))),MIN(G18,MIN(0.95,ROUND(($J22-INDEX(Actividades!$F$5:$F$17,MATCH($B22,Actividades!$A$5:$A$17,0))+1)/(INDEX(Actividades!$G$5:$G$17,MATCH($B22,Actividades!$A$5:$A$17,0))-INDEX(Actividades!$F$5:$F$17,MATCH($B22,Actividades!$A$5:$A$17,0))+1)*20,0)/20)),MIN(0.95,ROUND(($J22-INDEX(Actividades!$F$5:$F$17,MATCH($B22,Actividades!$A$5:$A$17,0))+1)/(INDEX(Actividades!$G$5:$G$17,MATCH($B22,Actividades!$A$5:$A$17,0))-INDEX(Actividades!$F$5:$F$17,MATCH($B22,Actividades!$A$5:$A$17,0))+1)*20,0)/20))))</f>
        <v>0.15</v>
      </c>
      <c r="H22" s="8" t="str">
        <f aca="false">IF($E22="✘","Ausente: no asistió al daily (sin reporte)",IFERROR(INDEX(Impedimentos!$E$5:$E$60,MATCH(B22&amp;"|"&amp;J22,Impedimentos!$F$5:$F$60,0)),"Sin impedimentos"))</f>
        <v>El modelo entidad-relación se dibuja con dos notaciones distintas y no se logra cerrar un diseño único.</v>
      </c>
      <c r="I22" s="8" t="str">
        <f aca="false">IF($E22="✘","—",IFERROR(INDEX(Impedimentos!$D$5:$D$60,MATCH(B22&amp;"|"&amp;J22,Impedimentos!$F$5:$F$60,0)),"—"))</f>
        <v>Conflicto académico (BD)</v>
      </c>
      <c r="J22" s="12" t="n">
        <f aca="false">INT((ROW()-6)/4)+1</f>
        <v>5</v>
      </c>
    </row>
    <row r="23" customFormat="false" ht="42" hidden="false" customHeight="true" outlineLevel="0" collapsed="false">
      <c r="A23" s="6" t="n">
        <f aca="false">INDEX(Config!$C$12:$C$31,J23)</f>
        <v>46281</v>
      </c>
      <c r="B23" s="7" t="str">
        <f aca="false">INDEX(Actividades!$A$5:$A$17,SUMPRODUCT((Actividades!$C$5:$C$17=D23)*(Actividades!$F$5:$F$17&lt;=J23)*(Actividades!$G$5:$G$17&gt;=J23)*(ROW(Actividades!$C$5:$C$17)-4)))</f>
        <v>SCR-7</v>
      </c>
      <c r="C23" s="8" t="str">
        <f aca="false">INDEX(Actividades!$B$5:$B$17,MATCH($B23,Actividades!$A$5:$A$17,0))</f>
        <v>Maquetar la interfaz de usuario (pantallas base de registro e inicio de sesión).</v>
      </c>
      <c r="D23" s="8" t="str">
        <f aca="false">INDEX(Config!$A$12:$A$15,MOD(ROW()-6,4)+1)</f>
        <v>JUAN SEBASTIAN JARAMILLO ORTIZ</v>
      </c>
      <c r="E23" s="9" t="s">
        <v>12</v>
      </c>
      <c r="F23" s="10" t="n">
        <f aca="false">INDEX(Actividades!$L$5:$L$17,MATCH($B23,Actividades!$A$5:$A$17,0))</f>
        <v>1</v>
      </c>
      <c r="G23" s="11" t="n">
        <f aca="false">IF($E23="✘",IF($J23=INDEX(Actividades!$F$5:$F$17,MATCH($B23,Actividades!$A$5:$A$17,0)),0,G19),IF($J23=INDEX(Actividades!$G$5:$G$17,MATCH($B23,Actividades!$A$5:$A$17,0)),1,IF(AND($I23&lt;&gt;"—",$J23&gt;INDEX(Actividades!$F$5:$F$17,MATCH($B23,Actividades!$A$5:$A$17,0))),MIN(G19,MIN(0.95,ROUND(($J23-INDEX(Actividades!$F$5:$F$17,MATCH($B23,Actividades!$A$5:$A$17,0))+1)/(INDEX(Actividades!$G$5:$G$17,MATCH($B23,Actividades!$A$5:$A$17,0))-INDEX(Actividades!$F$5:$F$17,MATCH($B23,Actividades!$A$5:$A$17,0))+1)*20,0)/20)),MIN(0.95,ROUND(($J23-INDEX(Actividades!$F$5:$F$17,MATCH($B23,Actividades!$A$5:$A$17,0))+1)/(INDEX(Actividades!$G$5:$G$17,MATCH($B23,Actividades!$A$5:$A$17,0))-INDEX(Actividades!$F$5:$F$17,MATCH($B23,Actividades!$A$5:$A$17,0))+1)*20,0)/20))))</f>
        <v>1</v>
      </c>
      <c r="H23" s="8" t="str">
        <f aca="false">IF($E23="✘","Ausente: no asistió al daily (sin reporte)",IFERROR(INDEX(Impedimentos!$E$5:$E$60,MATCH(B23&amp;"|"&amp;J23,Impedimentos!$F$5:$F$60,0)),"Sin impedimentos"))</f>
        <v>Sin impedimentos</v>
      </c>
      <c r="I23" s="8" t="str">
        <f aca="false">IF($E23="✘","—",IFERROR(INDEX(Impedimentos!$D$5:$D$60,MATCH(B23&amp;"|"&amp;J23,Impedimentos!$F$5:$F$60,0)),"—"))</f>
        <v>—</v>
      </c>
      <c r="J23" s="12" t="n">
        <f aca="false">INT((ROW()-6)/4)+1</f>
        <v>5</v>
      </c>
    </row>
    <row r="24" customFormat="false" ht="42" hidden="false" customHeight="true" outlineLevel="0" collapsed="false">
      <c r="A24" s="6" t="n">
        <f aca="false">INDEX(Config!$C$12:$C$31,J24)</f>
        <v>46281</v>
      </c>
      <c r="B24" s="7" t="str">
        <f aca="false">INDEX(Actividades!$A$5:$A$17,SUMPRODUCT((Actividades!$C$5:$C$17=D24)*(Actividades!$F$5:$F$17&lt;=J24)*(Actividades!$G$5:$G$17&gt;=J24)*(ROW(Actividades!$C$5:$C$17)-4)))</f>
        <v>SCR-10</v>
      </c>
      <c r="C24" s="8" t="str">
        <f aca="false">INDEX(Actividades!$B$5:$B$17,MATCH($B24,Actividades!$A$5:$A$17,0))</f>
        <v>Elaborar el análisis PESTEL completo de ElDesparche.</v>
      </c>
      <c r="D24" s="8" t="str">
        <f aca="false">INDEX(Config!$A$12:$A$15,MOD(ROW()-6,4)+1)</f>
        <v>ISSABHELLA ALARCON MORENO</v>
      </c>
      <c r="E24" s="9" t="s">
        <v>13</v>
      </c>
      <c r="F24" s="10" t="n">
        <f aca="false">INDEX(Actividades!$L$5:$L$17,MATCH($B24,Actividades!$A$5:$A$17,0))</f>
        <v>3</v>
      </c>
      <c r="G24" s="11" t="n">
        <f aca="false">IF($E24="✘",IF($J24=INDEX(Actividades!$F$5:$F$17,MATCH($B24,Actividades!$A$5:$A$17,0)),0,G20),IF($J24=INDEX(Actividades!$G$5:$G$17,MATCH($B24,Actividades!$A$5:$A$17,0)),1,IF(AND($I24&lt;&gt;"—",$J24&gt;INDEX(Actividades!$F$5:$F$17,MATCH($B24,Actividades!$A$5:$A$17,0))),MIN(G20,MIN(0.95,ROUND(($J24-INDEX(Actividades!$F$5:$F$17,MATCH($B24,Actividades!$A$5:$A$17,0))+1)/(INDEX(Actividades!$G$5:$G$17,MATCH($B24,Actividades!$A$5:$A$17,0))-INDEX(Actividades!$F$5:$F$17,MATCH($B24,Actividades!$A$5:$A$17,0))+1)*20,0)/20)),MIN(0.95,ROUND(($J24-INDEX(Actividades!$F$5:$F$17,MATCH($B24,Actividades!$A$5:$A$17,0))+1)/(INDEX(Actividades!$G$5:$G$17,MATCH($B24,Actividades!$A$5:$A$17,0))-INDEX(Actividades!$F$5:$F$17,MATCH($B24,Actividades!$A$5:$A$17,0))+1)*20,0)/20))))</f>
        <v>0.65</v>
      </c>
      <c r="H24" s="8" t="str">
        <f aca="false">IF($E24="✘","Ausente: no asistió al daily (sin reporte)",IFERROR(INDEX(Impedimentos!$E$5:$E$60,MATCH(B24&amp;"|"&amp;J24,Impedimentos!$F$5:$F$60,0)),"Sin impedimentos"))</f>
        <v>Ausente: no asistió al daily (sin reporte)</v>
      </c>
      <c r="I24" s="8" t="str">
        <f aca="false">IF($E24="✘","—",IFERROR(INDEX(Impedimentos!$D$5:$D$60,MATCH(B24&amp;"|"&amp;J24,Impedimentos!$F$5:$F$60,0)),"—"))</f>
        <v>—</v>
      </c>
      <c r="J24" s="12" t="n">
        <f aca="false">INT((ROW()-6)/4)+1</f>
        <v>5</v>
      </c>
    </row>
    <row r="25" customFormat="false" ht="42" hidden="false" customHeight="true" outlineLevel="0" collapsed="false">
      <c r="A25" s="6" t="n">
        <f aca="false">INDEX(Config!$C$12:$C$31,J25)</f>
        <v>46281</v>
      </c>
      <c r="B25" s="7" t="str">
        <f aca="false">INDEX(Actividades!$A$5:$A$17,SUMPRODUCT((Actividades!$C$5:$C$17=D25)*(Actividades!$F$5:$F$17&lt;=J25)*(Actividades!$G$5:$G$17&gt;=J25)*(ROW(Actividades!$C$5:$C$17)-4)))</f>
        <v>SCR-13</v>
      </c>
      <c r="C25" s="8" t="str">
        <f aca="false">INDEX(Actividades!$B$5:$B$17,MATCH($B25,Actividades!$A$5:$A$17,0))</f>
        <v>Elaborar el cronograma, el modelo Iceberg y el apalancamiento de ElDesparche.</v>
      </c>
      <c r="D25" s="8" t="str">
        <f aca="false">INDEX(Config!$A$12:$A$15,MOD(ROW()-6,4)+1)</f>
        <v>VALENTINA ISABEL OSORIO MORAN</v>
      </c>
      <c r="E25" s="9" t="s">
        <v>12</v>
      </c>
      <c r="F25" s="10" t="n">
        <f aca="false">INDEX(Actividades!$L$5:$L$17,MATCH($B25,Actividades!$A$5:$A$17,0))</f>
        <v>5</v>
      </c>
      <c r="G25" s="11" t="n">
        <f aca="false">IF($E25="✘",IF($J25=INDEX(Actividades!$F$5:$F$17,MATCH($B25,Actividades!$A$5:$A$17,0)),0,G21),IF($J25=INDEX(Actividades!$G$5:$G$17,MATCH($B25,Actividades!$A$5:$A$17,0)),1,IF(AND($I25&lt;&gt;"—",$J25&gt;INDEX(Actividades!$F$5:$F$17,MATCH($B25,Actividades!$A$5:$A$17,0))),MIN(G21,MIN(0.95,ROUND(($J25-INDEX(Actividades!$F$5:$F$17,MATCH($B25,Actividades!$A$5:$A$17,0))+1)/(INDEX(Actividades!$G$5:$G$17,MATCH($B25,Actividades!$A$5:$A$17,0))-INDEX(Actividades!$F$5:$F$17,MATCH($B25,Actividades!$A$5:$A$17,0))+1)*20,0)/20)),MIN(0.95,ROUND(($J25-INDEX(Actividades!$F$5:$F$17,MATCH($B25,Actividades!$A$5:$A$17,0))+1)/(INDEX(Actividades!$G$5:$G$17,MATCH($B25,Actividades!$A$5:$A$17,0))-INDEX(Actividades!$F$5:$F$17,MATCH($B25,Actividades!$A$5:$A$17,0))+1)*20,0)/20))))</f>
        <v>0.85</v>
      </c>
      <c r="H25" s="8" t="str">
        <f aca="false">IF($E25="✘","Ausente: no asistió al daily (sin reporte)",IFERROR(INDEX(Impedimentos!$E$5:$E$60,MATCH(B25&amp;"|"&amp;J25,Impedimentos!$F$5:$F$60,0)),"Sin impedimentos"))</f>
        <v>Sin impedimentos</v>
      </c>
      <c r="I25" s="8" t="str">
        <f aca="false">IF($E25="✘","—",IFERROR(INDEX(Impedimentos!$D$5:$D$60,MATCH(B25&amp;"|"&amp;J25,Impedimentos!$F$5:$F$60,0)),"—"))</f>
        <v>—</v>
      </c>
      <c r="J25" s="12" t="n">
        <f aca="false">INT((ROW()-6)/4)+1</f>
        <v>5</v>
      </c>
    </row>
    <row r="26" customFormat="false" ht="42" hidden="false" customHeight="true" outlineLevel="0" collapsed="false">
      <c r="A26" s="13" t="n">
        <f aca="false">INDEX(Config!$C$12:$C$31,J26)</f>
        <v>46282</v>
      </c>
      <c r="B26" s="14" t="str">
        <f aca="false">INDEX(Actividades!$A$5:$A$17,SUMPRODUCT((Actividades!$C$5:$C$17=D26)*(Actividades!$F$5:$F$17&lt;=J26)*(Actividades!$G$5:$G$17&gt;=J26)*(ROW(Actividades!$C$5:$C$17)-4)))</f>
        <v>SCR-5</v>
      </c>
      <c r="C26" s="15" t="str">
        <f aca="false">INDEX(Actividades!$B$5:$B$17,MATCH($B26,Actividades!$A$5:$A$17,0))</f>
        <v>Diseñar el modelo de base de datos (entidades, relaciones y llaves) del sistema de eventos y reservas.</v>
      </c>
      <c r="D26" s="15" t="str">
        <f aca="false">INDEX(Config!$A$12:$A$15,MOD(ROW()-6,4)+1)</f>
        <v>EMMANUEL OBANDO SANCHEZ</v>
      </c>
      <c r="E26" s="16" t="s">
        <v>12</v>
      </c>
      <c r="F26" s="17" t="n">
        <f aca="false">INDEX(Actividades!$L$5:$L$17,MATCH($B26,Actividades!$A$5:$A$17,0))</f>
        <v>3</v>
      </c>
      <c r="G26" s="18" t="n">
        <f aca="false">IF($E26="✘",IF($J26=INDEX(Actividades!$F$5:$F$17,MATCH($B26,Actividades!$A$5:$A$17,0)),0,G22),IF($J26=INDEX(Actividades!$G$5:$G$17,MATCH($B26,Actividades!$A$5:$A$17,0)),1,IF(AND($I26&lt;&gt;"—",$J26&gt;INDEX(Actividades!$F$5:$F$17,MATCH($B26,Actividades!$A$5:$A$17,0))),MIN(G22,MIN(0.95,ROUND(($J26-INDEX(Actividades!$F$5:$F$17,MATCH($B26,Actividades!$A$5:$A$17,0))+1)/(INDEX(Actividades!$G$5:$G$17,MATCH($B26,Actividades!$A$5:$A$17,0))-INDEX(Actividades!$F$5:$F$17,MATCH($B26,Actividades!$A$5:$A$17,0))+1)*20,0)/20)),MIN(0.95,ROUND(($J26-INDEX(Actividades!$F$5:$F$17,MATCH($B26,Actividades!$A$5:$A$17,0))+1)/(INDEX(Actividades!$G$5:$G$17,MATCH($B26,Actividades!$A$5:$A$17,0))-INDEX(Actividades!$F$5:$F$17,MATCH($B26,Actividades!$A$5:$A$17,0))+1)*20,0)/20))))</f>
        <v>0.15</v>
      </c>
      <c r="H26" s="15" t="str">
        <f aca="false">IF($E26="✘","Ausente: no asistió al daily (sin reporte)",IFERROR(INDEX(Impedimentos!$E$5:$E$60,MATCH(B26&amp;"|"&amp;J26,Impedimentos!$F$5:$F$60,0)),"Sin impedimentos"))</f>
        <v>Demora en decidir cómo modelar personas → clientes/agentes/administradores (herencia vs. tablas separadas).</v>
      </c>
      <c r="I26" s="15" t="str">
        <f aca="false">IF($E26="✘","—",IFERROR(INDEX(Impedimentos!$D$5:$D$60,MATCH(B26&amp;"|"&amp;J26,Impedimentos!$F$5:$F$60,0)),"—"))</f>
        <v>Toma de decisiones</v>
      </c>
      <c r="J26" s="19" t="n">
        <f aca="false">INT((ROW()-6)/4)+1</f>
        <v>6</v>
      </c>
    </row>
    <row r="27" customFormat="false" ht="42" hidden="false" customHeight="true" outlineLevel="0" collapsed="false">
      <c r="A27" s="13" t="n">
        <f aca="false">INDEX(Config!$C$12:$C$31,J27)</f>
        <v>46282</v>
      </c>
      <c r="B27" s="14" t="str">
        <f aca="false">INDEX(Actividades!$A$5:$A$17,SUMPRODUCT((Actividades!$C$5:$C$17=D27)*(Actividades!$F$5:$F$17&lt;=J27)*(Actividades!$G$5:$G$17&gt;=J27)*(ROW(Actividades!$C$5:$C$17)-4)))</f>
        <v>SCR-8</v>
      </c>
      <c r="C27" s="15" t="str">
        <f aca="false">INDEX(Actividades!$B$5:$B$17,MATCH($B27,Actividades!$A$5:$A$17,0))</f>
        <v>Crear en PostgreSQL las tablas personas, teléfonos, clientes, agentes y administradores.</v>
      </c>
      <c r="D27" s="15" t="str">
        <f aca="false">INDEX(Config!$A$12:$A$15,MOD(ROW()-6,4)+1)</f>
        <v>JUAN SEBASTIAN JARAMILLO ORTIZ</v>
      </c>
      <c r="E27" s="16" t="s">
        <v>12</v>
      </c>
      <c r="F27" s="17" t="n">
        <f aca="false">INDEX(Actividades!$L$5:$L$17,MATCH($B27,Actividades!$A$5:$A$17,0))</f>
        <v>2</v>
      </c>
      <c r="G27" s="18" t="n">
        <f aca="false">IF($E27="✘",IF($J27=INDEX(Actividades!$F$5:$F$17,MATCH($B27,Actividades!$A$5:$A$17,0)),0,G23),IF($J27=INDEX(Actividades!$G$5:$G$17,MATCH($B27,Actividades!$A$5:$A$17,0)),1,IF(AND($I27&lt;&gt;"—",$J27&gt;INDEX(Actividades!$F$5:$F$17,MATCH($B27,Actividades!$A$5:$A$17,0))),MIN(G23,MIN(0.95,ROUND(($J27-INDEX(Actividades!$F$5:$F$17,MATCH($B27,Actividades!$A$5:$A$17,0))+1)/(INDEX(Actividades!$G$5:$G$17,MATCH($B27,Actividades!$A$5:$A$17,0))-INDEX(Actividades!$F$5:$F$17,MATCH($B27,Actividades!$A$5:$A$17,0))+1)*20,0)/20)),MIN(0.95,ROUND(($J27-INDEX(Actividades!$F$5:$F$17,MATCH($B27,Actividades!$A$5:$A$17,0))+1)/(INDEX(Actividades!$G$5:$G$17,MATCH($B27,Actividades!$A$5:$A$17,0))-INDEX(Actividades!$F$5:$F$17,MATCH($B27,Actividades!$A$5:$A$17,0))+1)*20,0)/20))))</f>
        <v>0.25</v>
      </c>
      <c r="H27" s="15" t="str">
        <f aca="false">IF($E27="✘","Ausente: no asistió al daily (sin reporte)",IFERROR(INDEX(Impedimentos!$E$5:$E$60,MATCH(B27&amp;"|"&amp;J27,Impedimentos!$F$5:$F$60,0)),"Sin impedimentos"))</f>
        <v>Falta de práctica con PostgreSQL (tipos de dato, llaves foráneas) para pasar el diseño a tablas.</v>
      </c>
      <c r="I27" s="15" t="str">
        <f aca="false">IF($E27="✘","—",IFERROR(INDEX(Impedimentos!$D$5:$D$60,MATCH(B27&amp;"|"&amp;J27,Impedimentos!$F$5:$F$60,0)),"—"))</f>
        <v>Conocimiento</v>
      </c>
      <c r="J27" s="19" t="n">
        <f aca="false">INT((ROW()-6)/4)+1</f>
        <v>6</v>
      </c>
    </row>
    <row r="28" customFormat="false" ht="42" hidden="false" customHeight="true" outlineLevel="0" collapsed="false">
      <c r="A28" s="13" t="n">
        <f aca="false">INDEX(Config!$C$12:$C$31,J28)</f>
        <v>46282</v>
      </c>
      <c r="B28" s="14" t="str">
        <f aca="false">INDEX(Actividades!$A$5:$A$17,SUMPRODUCT((Actividades!$C$5:$C$17=D28)*(Actividades!$F$5:$F$17&lt;=J28)*(Actividades!$G$5:$G$17&gt;=J28)*(ROW(Actividades!$C$5:$C$17)-4)))</f>
        <v>SCR-10</v>
      </c>
      <c r="C28" s="15" t="str">
        <f aca="false">INDEX(Actividades!$B$5:$B$17,MATCH($B28,Actividades!$A$5:$A$17,0))</f>
        <v>Elaborar el análisis PESTEL completo de ElDesparche.</v>
      </c>
      <c r="D28" s="15" t="str">
        <f aca="false">INDEX(Config!$A$12:$A$15,MOD(ROW()-6,4)+1)</f>
        <v>ISSABHELLA ALARCON MORENO</v>
      </c>
      <c r="E28" s="16" t="s">
        <v>12</v>
      </c>
      <c r="F28" s="17" t="n">
        <f aca="false">INDEX(Actividades!$L$5:$L$17,MATCH($B28,Actividades!$A$5:$A$17,0))</f>
        <v>3</v>
      </c>
      <c r="G28" s="18" t="n">
        <f aca="false">IF($E28="✘",IF($J28=INDEX(Actividades!$F$5:$F$17,MATCH($B28,Actividades!$A$5:$A$17,0)),0,G24),IF($J28=INDEX(Actividades!$G$5:$G$17,MATCH($B28,Actividades!$A$5:$A$17,0)),1,IF(AND($I28&lt;&gt;"—",$J28&gt;INDEX(Actividades!$F$5:$F$17,MATCH($B28,Actividades!$A$5:$A$17,0))),MIN(G24,MIN(0.95,ROUND(($J28-INDEX(Actividades!$F$5:$F$17,MATCH($B28,Actividades!$A$5:$A$17,0))+1)/(INDEX(Actividades!$G$5:$G$17,MATCH($B28,Actividades!$A$5:$A$17,0))-INDEX(Actividades!$F$5:$F$17,MATCH($B28,Actividades!$A$5:$A$17,0))+1)*20,0)/20)),MIN(0.95,ROUND(($J28-INDEX(Actividades!$F$5:$F$17,MATCH($B28,Actividades!$A$5:$A$17,0))+1)/(INDEX(Actividades!$G$5:$G$17,MATCH($B28,Actividades!$A$5:$A$17,0))-INDEX(Actividades!$F$5:$F$17,MATCH($B28,Actividades!$A$5:$A$17,0))+1)*20,0)/20))))</f>
        <v>1</v>
      </c>
      <c r="H28" s="15" t="str">
        <f aca="false">IF($E28="✘","Ausente: no asistió al daily (sin reporte)",IFERROR(INDEX(Impedimentos!$E$5:$E$60,MATCH(B28&amp;"|"&amp;J28,Impedimentos!$F$5:$F$60,0)),"Sin impedimentos"))</f>
        <v>Sin impedimentos</v>
      </c>
      <c r="I28" s="15" t="str">
        <f aca="false">IF($E28="✘","—",IFERROR(INDEX(Impedimentos!$D$5:$D$60,MATCH(B28&amp;"|"&amp;J28,Impedimentos!$F$5:$F$60,0)),"—"))</f>
        <v>—</v>
      </c>
      <c r="J28" s="19" t="n">
        <f aca="false">INT((ROW()-6)/4)+1</f>
        <v>6</v>
      </c>
    </row>
    <row r="29" customFormat="false" ht="42" hidden="false" customHeight="true" outlineLevel="0" collapsed="false">
      <c r="A29" s="13" t="n">
        <f aca="false">INDEX(Config!$C$12:$C$31,J29)</f>
        <v>46282</v>
      </c>
      <c r="B29" s="14" t="str">
        <f aca="false">INDEX(Actividades!$A$5:$A$17,SUMPRODUCT((Actividades!$C$5:$C$17=D29)*(Actividades!$F$5:$F$17&lt;=J29)*(Actividades!$G$5:$G$17&gt;=J29)*(ROW(Actividades!$C$5:$C$17)-4)))</f>
        <v>SCR-13</v>
      </c>
      <c r="C29" s="15" t="str">
        <f aca="false">INDEX(Actividades!$B$5:$B$17,MATCH($B29,Actividades!$A$5:$A$17,0))</f>
        <v>Elaborar el cronograma, el modelo Iceberg y el apalancamiento de ElDesparche.</v>
      </c>
      <c r="D29" s="15" t="str">
        <f aca="false">INDEX(Config!$A$12:$A$15,MOD(ROW()-6,4)+1)</f>
        <v>VALENTINA ISABEL OSORIO MORAN</v>
      </c>
      <c r="E29" s="16" t="s">
        <v>12</v>
      </c>
      <c r="F29" s="17" t="n">
        <f aca="false">INDEX(Actividades!$L$5:$L$17,MATCH($B29,Actividades!$A$5:$A$17,0))</f>
        <v>5</v>
      </c>
      <c r="G29" s="18" t="n">
        <f aca="false">IF($E29="✘",IF($J29=INDEX(Actividades!$F$5:$F$17,MATCH($B29,Actividades!$A$5:$A$17,0)),0,G25),IF($J29=INDEX(Actividades!$G$5:$G$17,MATCH($B29,Actividades!$A$5:$A$17,0)),1,IF(AND($I29&lt;&gt;"—",$J29&gt;INDEX(Actividades!$F$5:$F$17,MATCH($B29,Actividades!$A$5:$A$17,0))),MIN(G25,MIN(0.95,ROUND(($J29-INDEX(Actividades!$F$5:$F$17,MATCH($B29,Actividades!$A$5:$A$17,0))+1)/(INDEX(Actividades!$G$5:$G$17,MATCH($B29,Actividades!$A$5:$A$17,0))-INDEX(Actividades!$F$5:$F$17,MATCH($B29,Actividades!$A$5:$A$17,0))+1)*20,0)/20)),MIN(0.95,ROUND(($J29-INDEX(Actividades!$F$5:$F$17,MATCH($B29,Actividades!$A$5:$A$17,0))+1)/(INDEX(Actividades!$G$5:$G$17,MATCH($B29,Actividades!$A$5:$A$17,0))-INDEX(Actividades!$F$5:$F$17,MATCH($B29,Actividades!$A$5:$A$17,0))+1)*20,0)/20))))</f>
        <v>1</v>
      </c>
      <c r="H29" s="15" t="str">
        <f aca="false">IF($E29="✘","Ausente: no asistió al daily (sin reporte)",IFERROR(INDEX(Impedimentos!$E$5:$E$60,MATCH(B29&amp;"|"&amp;J29,Impedimentos!$F$5:$F$60,0)),"Sin impedimentos"))</f>
        <v>Sin impedimentos</v>
      </c>
      <c r="I29" s="15" t="str">
        <f aca="false">IF($E29="✘","—",IFERROR(INDEX(Impedimentos!$D$5:$D$60,MATCH(B29&amp;"|"&amp;J29,Impedimentos!$F$5:$F$60,0)),"—"))</f>
        <v>—</v>
      </c>
      <c r="J29" s="19" t="n">
        <f aca="false">INT((ROW()-6)/4)+1</f>
        <v>6</v>
      </c>
    </row>
    <row r="30" customFormat="false" ht="42" hidden="false" customHeight="true" outlineLevel="0" collapsed="false">
      <c r="A30" s="6" t="n">
        <f aca="false">INDEX(Config!$C$12:$C$31,J30)</f>
        <v>46283</v>
      </c>
      <c r="B30" s="7" t="str">
        <f aca="false">INDEX(Actividades!$A$5:$A$17,SUMPRODUCT((Actividades!$C$5:$C$17=D30)*(Actividades!$F$5:$F$17&lt;=J30)*(Actividades!$G$5:$G$17&gt;=J30)*(ROW(Actividades!$C$5:$C$17)-4)))</f>
        <v>SCR-5</v>
      </c>
      <c r="C30" s="8" t="str">
        <f aca="false">INDEX(Actividades!$B$5:$B$17,MATCH($B30,Actividades!$A$5:$A$17,0))</f>
        <v>Diseñar el modelo de base de datos (entidades, relaciones y llaves) del sistema de eventos y reservas.</v>
      </c>
      <c r="D30" s="8" t="str">
        <f aca="false">INDEX(Config!$A$12:$A$15,MOD(ROW()-6,4)+1)</f>
        <v>EMMANUEL OBANDO SANCHEZ</v>
      </c>
      <c r="E30" s="9" t="s">
        <v>12</v>
      </c>
      <c r="F30" s="10" t="n">
        <f aca="false">INDEX(Actividades!$L$5:$L$17,MATCH($B30,Actividades!$A$5:$A$17,0))</f>
        <v>3</v>
      </c>
      <c r="G30" s="11" t="n">
        <f aca="false">IF($E30="✘",IF($J30=INDEX(Actividades!$F$5:$F$17,MATCH($B30,Actividades!$A$5:$A$17,0)),0,G26),IF($J30=INDEX(Actividades!$G$5:$G$17,MATCH($B30,Actividades!$A$5:$A$17,0)),1,IF(AND($I30&lt;&gt;"—",$J30&gt;INDEX(Actividades!$F$5:$F$17,MATCH($B30,Actividades!$A$5:$A$17,0))),MIN(G26,MIN(0.95,ROUND(($J30-INDEX(Actividades!$F$5:$F$17,MATCH($B30,Actividades!$A$5:$A$17,0))+1)/(INDEX(Actividades!$G$5:$G$17,MATCH($B30,Actividades!$A$5:$A$17,0))-INDEX(Actividades!$F$5:$F$17,MATCH($B30,Actividades!$A$5:$A$17,0))+1)*20,0)/20)),MIN(0.95,ROUND(($J30-INDEX(Actividades!$F$5:$F$17,MATCH($B30,Actividades!$A$5:$A$17,0))+1)/(INDEX(Actividades!$G$5:$G$17,MATCH($B30,Actividades!$A$5:$A$17,0))-INDEX(Actividades!$F$5:$F$17,MATCH($B30,Actividades!$A$5:$A$17,0))+1)*20,0)/20))))</f>
        <v>0.7</v>
      </c>
      <c r="H30" s="8" t="str">
        <f aca="false">IF($E30="✘","Ausente: no asistió al daily (sin reporte)",IFERROR(INDEX(Impedimentos!$E$5:$E$60,MATCH(B30&amp;"|"&amp;J30,Impedimentos!$F$5:$F$60,0)),"Sin impedimentos"))</f>
        <v>Sin impedimentos</v>
      </c>
      <c r="I30" s="8" t="str">
        <f aca="false">IF($E30="✘","—",IFERROR(INDEX(Impedimentos!$D$5:$D$60,MATCH(B30&amp;"|"&amp;J30,Impedimentos!$F$5:$F$60,0)),"—"))</f>
        <v>—</v>
      </c>
      <c r="J30" s="12" t="n">
        <f aca="false">INT((ROW()-6)/4)+1</f>
        <v>7</v>
      </c>
    </row>
    <row r="31" customFormat="false" ht="42" hidden="false" customHeight="true" outlineLevel="0" collapsed="false">
      <c r="A31" s="6" t="n">
        <f aca="false">INDEX(Config!$C$12:$C$31,J31)</f>
        <v>46283</v>
      </c>
      <c r="B31" s="7" t="str">
        <f aca="false">INDEX(Actividades!$A$5:$A$17,SUMPRODUCT((Actividades!$C$5:$C$17=D31)*(Actividades!$F$5:$F$17&lt;=J31)*(Actividades!$G$5:$G$17&gt;=J31)*(ROW(Actividades!$C$5:$C$17)-4)))</f>
        <v>SCR-8</v>
      </c>
      <c r="C31" s="8" t="str">
        <f aca="false">INDEX(Actividades!$B$5:$B$17,MATCH($B31,Actividades!$A$5:$A$17,0))</f>
        <v>Crear en PostgreSQL las tablas personas, teléfonos, clientes, agentes y administradores.</v>
      </c>
      <c r="D31" s="8" t="str">
        <f aca="false">INDEX(Config!$A$12:$A$15,MOD(ROW()-6,4)+1)</f>
        <v>JUAN SEBASTIAN JARAMILLO ORTIZ</v>
      </c>
      <c r="E31" s="9" t="s">
        <v>12</v>
      </c>
      <c r="F31" s="10" t="n">
        <f aca="false">INDEX(Actividades!$L$5:$L$17,MATCH($B31,Actividades!$A$5:$A$17,0))</f>
        <v>2</v>
      </c>
      <c r="G31" s="11" t="n">
        <f aca="false">IF($E31="✘",IF($J31=INDEX(Actividades!$F$5:$F$17,MATCH($B31,Actividades!$A$5:$A$17,0)),0,G27),IF($J31=INDEX(Actividades!$G$5:$G$17,MATCH($B31,Actividades!$A$5:$A$17,0)),1,IF(AND($I31&lt;&gt;"—",$J31&gt;INDEX(Actividades!$F$5:$F$17,MATCH($B31,Actividades!$A$5:$A$17,0))),MIN(G27,MIN(0.95,ROUND(($J31-INDEX(Actividades!$F$5:$F$17,MATCH($B31,Actividades!$A$5:$A$17,0))+1)/(INDEX(Actividades!$G$5:$G$17,MATCH($B31,Actividades!$A$5:$A$17,0))-INDEX(Actividades!$F$5:$F$17,MATCH($B31,Actividades!$A$5:$A$17,0))+1)*20,0)/20)),MIN(0.95,ROUND(($J31-INDEX(Actividades!$F$5:$F$17,MATCH($B31,Actividades!$A$5:$A$17,0))+1)/(INDEX(Actividades!$G$5:$G$17,MATCH($B31,Actividades!$A$5:$A$17,0))-INDEX(Actividades!$F$5:$F$17,MATCH($B31,Actividades!$A$5:$A$17,0))+1)*20,0)/20))))</f>
        <v>0.25</v>
      </c>
      <c r="H31" s="8" t="str">
        <f aca="false">IF($E31="✘","Ausente: no asistió al daily (sin reporte)",IFERROR(INDEX(Impedimentos!$E$5:$E$60,MATCH(B31&amp;"|"&amp;J31,Impedimentos!$F$5:$F$60,0)),"Sin impedimentos"))</f>
        <v>El modelo sigue cambiando por la diferencia de criterios entre los dos profesores de BD; hay que rehacer tablas.</v>
      </c>
      <c r="I31" s="8" t="str">
        <f aca="false">IF($E31="✘","—",IFERROR(INDEX(Impedimentos!$D$5:$D$60,MATCH(B31&amp;"|"&amp;J31,Impedimentos!$F$5:$F$60,0)),"—"))</f>
        <v>Conflicto académico (BD)</v>
      </c>
      <c r="J31" s="12" t="n">
        <f aca="false">INT((ROW()-6)/4)+1</f>
        <v>7</v>
      </c>
    </row>
    <row r="32" customFormat="false" ht="42" hidden="false" customHeight="true" outlineLevel="0" collapsed="false">
      <c r="A32" s="6" t="n">
        <f aca="false">INDEX(Config!$C$12:$C$31,J32)</f>
        <v>46283</v>
      </c>
      <c r="B32" s="7" t="str">
        <f aca="false">INDEX(Actividades!$A$5:$A$17,SUMPRODUCT((Actividades!$C$5:$C$17=D32)*(Actividades!$F$5:$F$17&lt;=J32)*(Actividades!$G$5:$G$17&gt;=J32)*(ROW(Actividades!$C$5:$C$17)-4)))</f>
        <v>SCR-11</v>
      </c>
      <c r="C32" s="8" t="str">
        <f aca="false">INDEX(Actividades!$B$5:$B$17,MATCH($B32,Actividades!$A$5:$A$17,0))</f>
        <v>Elaborar el borrador de la matriz Canvas de ElDesparche.</v>
      </c>
      <c r="D32" s="8" t="str">
        <f aca="false">INDEX(Config!$A$12:$A$15,MOD(ROW()-6,4)+1)</f>
        <v>ISSABHELLA ALARCON MORENO</v>
      </c>
      <c r="E32" s="9" t="s">
        <v>12</v>
      </c>
      <c r="F32" s="10" t="n">
        <f aca="false">INDEX(Actividades!$L$5:$L$17,MATCH($B32,Actividades!$A$5:$A$17,0))</f>
        <v>2</v>
      </c>
      <c r="G32" s="11" t="n">
        <f aca="false">IF($E32="✘",IF($J32=INDEX(Actividades!$F$5:$F$17,MATCH($B32,Actividades!$A$5:$A$17,0)),0,G28),IF($J32=INDEX(Actividades!$G$5:$G$17,MATCH($B32,Actividades!$A$5:$A$17,0)),1,IF(AND($I32&lt;&gt;"—",$J32&gt;INDEX(Actividades!$F$5:$F$17,MATCH($B32,Actividades!$A$5:$A$17,0))),MIN(G28,MIN(0.95,ROUND(($J32-INDEX(Actividades!$F$5:$F$17,MATCH($B32,Actividades!$A$5:$A$17,0))+1)/(INDEX(Actividades!$G$5:$G$17,MATCH($B32,Actividades!$A$5:$A$17,0))-INDEX(Actividades!$F$5:$F$17,MATCH($B32,Actividades!$A$5:$A$17,0))+1)*20,0)/20)),MIN(0.95,ROUND(($J32-INDEX(Actividades!$F$5:$F$17,MATCH($B32,Actividades!$A$5:$A$17,0))+1)/(INDEX(Actividades!$G$5:$G$17,MATCH($B32,Actividades!$A$5:$A$17,0))-INDEX(Actividades!$F$5:$F$17,MATCH($B32,Actividades!$A$5:$A$17,0))+1)*20,0)/20))))</f>
        <v>0.25</v>
      </c>
      <c r="H32" s="8" t="str">
        <f aca="false">IF($E32="✘","Ausente: no asistió al daily (sin reporte)",IFERROR(INDEX(Impedimentos!$E$5:$E$60,MATCH(B32&amp;"|"&amp;J32,Impedimentos!$F$5:$F$60,0)),"Sin impedimentos"))</f>
        <v>Sin impedimentos</v>
      </c>
      <c r="I32" s="8" t="str">
        <f aca="false">IF($E32="✘","—",IFERROR(INDEX(Impedimentos!$D$5:$D$60,MATCH(B32&amp;"|"&amp;J32,Impedimentos!$F$5:$F$60,0)),"—"))</f>
        <v>—</v>
      </c>
      <c r="J32" s="12" t="n">
        <f aca="false">INT((ROW()-6)/4)+1</f>
        <v>7</v>
      </c>
    </row>
    <row r="33" customFormat="false" ht="42" hidden="false" customHeight="true" outlineLevel="0" collapsed="false">
      <c r="A33" s="6" t="n">
        <f aca="false">INDEX(Config!$C$12:$C$31,J33)</f>
        <v>46283</v>
      </c>
      <c r="B33" s="7" t="str">
        <f aca="false">INDEX(Actividades!$A$5:$A$17,SUMPRODUCT((Actividades!$C$5:$C$17=D33)*(Actividades!$F$5:$F$17&lt;=J33)*(Actividades!$G$5:$G$17&gt;=J33)*(ROW(Actividades!$C$5:$C$17)-4)))</f>
        <v>SCR-14</v>
      </c>
      <c r="C33" s="8" t="str">
        <f aca="false">INDEX(Actividades!$B$5:$B$17,MATCH($B33,Actividades!$A$5:$A$17,0))</f>
        <v>Consolidar la matriz Canvas final de ElDesparche.</v>
      </c>
      <c r="D33" s="8" t="str">
        <f aca="false">INDEX(Config!$A$12:$A$15,MOD(ROW()-6,4)+1)</f>
        <v>VALENTINA ISABEL OSORIO MORAN</v>
      </c>
      <c r="E33" s="9" t="s">
        <v>12</v>
      </c>
      <c r="F33" s="10" t="n">
        <f aca="false">INDEX(Actividades!$L$5:$L$17,MATCH($B33,Actividades!$A$5:$A$17,0))</f>
        <v>5</v>
      </c>
      <c r="G33" s="11" t="n">
        <f aca="false">IF($E33="✘",IF($J33=INDEX(Actividades!$F$5:$F$17,MATCH($B33,Actividades!$A$5:$A$17,0)),0,G29),IF($J33=INDEX(Actividades!$G$5:$G$17,MATCH($B33,Actividades!$A$5:$A$17,0)),1,IF(AND($I33&lt;&gt;"—",$J33&gt;INDEX(Actividades!$F$5:$F$17,MATCH($B33,Actividades!$A$5:$A$17,0))),MIN(G29,MIN(0.95,ROUND(($J33-INDEX(Actividades!$F$5:$F$17,MATCH($B33,Actividades!$A$5:$A$17,0))+1)/(INDEX(Actividades!$G$5:$G$17,MATCH($B33,Actividades!$A$5:$A$17,0))-INDEX(Actividades!$F$5:$F$17,MATCH($B33,Actividades!$A$5:$A$17,0))+1)*20,0)/20)),MIN(0.95,ROUND(($J33-INDEX(Actividades!$F$5:$F$17,MATCH($B33,Actividades!$A$5:$A$17,0))+1)/(INDEX(Actividades!$G$5:$G$17,MATCH($B33,Actividades!$A$5:$A$17,0))-INDEX(Actividades!$F$5:$F$17,MATCH($B33,Actividades!$A$5:$A$17,0))+1)*20,0)/20))))</f>
        <v>0.25</v>
      </c>
      <c r="H33" s="8" t="str">
        <f aca="false">IF($E33="✘","Ausente: no asistió al daily (sin reporte)",IFERROR(INDEX(Impedimentos!$E$5:$E$60,MATCH(B33&amp;"|"&amp;J33,Impedimentos!$F$5:$F$60,0)),"Sin impedimentos"))</f>
        <v>Se espera la aprobación del equipo sobre el borrador del Canvas; sin decisión no se avanza.</v>
      </c>
      <c r="I33" s="8" t="str">
        <f aca="false">IF($E33="✘","—",IFERROR(INDEX(Impedimentos!$D$5:$D$60,MATCH(B33&amp;"|"&amp;J33,Impedimentos!$F$5:$F$60,0)),"—"))</f>
        <v>Toma de decisiones</v>
      </c>
      <c r="J33" s="12" t="n">
        <f aca="false">INT((ROW()-6)/4)+1</f>
        <v>7</v>
      </c>
    </row>
    <row r="34" customFormat="false" ht="42" hidden="false" customHeight="true" outlineLevel="0" collapsed="false">
      <c r="A34" s="13" t="n">
        <f aca="false">INDEX(Config!$C$12:$C$31,J34)</f>
        <v>46286</v>
      </c>
      <c r="B34" s="14" t="str">
        <f aca="false">INDEX(Actividades!$A$5:$A$17,SUMPRODUCT((Actividades!$C$5:$C$17=D34)*(Actividades!$F$5:$F$17&lt;=J34)*(Actividades!$G$5:$G$17&gt;=J34)*(ROW(Actividades!$C$5:$C$17)-4)))</f>
        <v>SCR-5</v>
      </c>
      <c r="C34" s="15" t="str">
        <f aca="false">INDEX(Actividades!$B$5:$B$17,MATCH($B34,Actividades!$A$5:$A$17,0))</f>
        <v>Diseñar el modelo de base de datos (entidades, relaciones y llaves) del sistema de eventos y reservas.</v>
      </c>
      <c r="D34" s="15" t="str">
        <f aca="false">INDEX(Config!$A$12:$A$15,MOD(ROW()-6,4)+1)</f>
        <v>EMMANUEL OBANDO SANCHEZ</v>
      </c>
      <c r="E34" s="16" t="s">
        <v>12</v>
      </c>
      <c r="F34" s="17" t="n">
        <f aca="false">INDEX(Actividades!$L$5:$L$17,MATCH($B34,Actividades!$A$5:$A$17,0))</f>
        <v>3</v>
      </c>
      <c r="G34" s="18" t="n">
        <f aca="false">IF($E34="✘",IF($J34=INDEX(Actividades!$F$5:$F$17,MATCH($B34,Actividades!$A$5:$A$17,0)),0,G30),IF($J34=INDEX(Actividades!$G$5:$G$17,MATCH($B34,Actividades!$A$5:$A$17,0)),1,IF(AND($I34&lt;&gt;"—",$J34&gt;INDEX(Actividades!$F$5:$F$17,MATCH($B34,Actividades!$A$5:$A$17,0))),MIN(G30,MIN(0.95,ROUND(($J34-INDEX(Actividades!$F$5:$F$17,MATCH($B34,Actividades!$A$5:$A$17,0))+1)/(INDEX(Actividades!$G$5:$G$17,MATCH($B34,Actividades!$A$5:$A$17,0))-INDEX(Actividades!$F$5:$F$17,MATCH($B34,Actividades!$A$5:$A$17,0))+1)*20,0)/20)),MIN(0.95,ROUND(($J34-INDEX(Actividades!$F$5:$F$17,MATCH($B34,Actividades!$A$5:$A$17,0))+1)/(INDEX(Actividades!$G$5:$G$17,MATCH($B34,Actividades!$A$5:$A$17,0))-INDEX(Actividades!$F$5:$F$17,MATCH($B34,Actividades!$A$5:$A$17,0))+1)*20,0)/20))))</f>
        <v>0.7</v>
      </c>
      <c r="H34" s="15" t="str">
        <f aca="false">IF($E34="✘","Ausente: no asistió al daily (sin reporte)",IFERROR(INDEX(Impedimentos!$E$5:$E$60,MATCH(B34&amp;"|"&amp;J34,Impedimentos!$F$5:$F$60,0)),"Sin impedimentos"))</f>
        <v>Cambios del modelo sin versionar: falta acordar estructura de carpetas y ramas para subir los scripts.</v>
      </c>
      <c r="I34" s="15" t="str">
        <f aca="false">IF($E34="✘","—",IFERROR(INDEX(Impedimentos!$D$5:$D$60,MATCH(B34&amp;"|"&amp;J34,Impedimentos!$F$5:$F$60,0)),"—"))</f>
        <v>Estructura del proyecto</v>
      </c>
      <c r="J34" s="19" t="n">
        <f aca="false">INT((ROW()-6)/4)+1</f>
        <v>8</v>
      </c>
    </row>
    <row r="35" customFormat="false" ht="42" hidden="false" customHeight="true" outlineLevel="0" collapsed="false">
      <c r="A35" s="13" t="n">
        <f aca="false">INDEX(Config!$C$12:$C$31,J35)</f>
        <v>46286</v>
      </c>
      <c r="B35" s="14" t="str">
        <f aca="false">INDEX(Actividades!$A$5:$A$17,SUMPRODUCT((Actividades!$C$5:$C$17=D35)*(Actividades!$F$5:$F$17&lt;=J35)*(Actividades!$G$5:$G$17&gt;=J35)*(ROW(Actividades!$C$5:$C$17)-4)))</f>
        <v>SCR-8</v>
      </c>
      <c r="C35" s="15" t="str">
        <f aca="false">INDEX(Actividades!$B$5:$B$17,MATCH($B35,Actividades!$A$5:$A$17,0))</f>
        <v>Crear en PostgreSQL las tablas personas, teléfonos, clientes, agentes y administradores.</v>
      </c>
      <c r="D35" s="15" t="str">
        <f aca="false">INDEX(Config!$A$12:$A$15,MOD(ROW()-6,4)+1)</f>
        <v>JUAN SEBASTIAN JARAMILLO ORTIZ</v>
      </c>
      <c r="E35" s="16" t="s">
        <v>13</v>
      </c>
      <c r="F35" s="17" t="n">
        <f aca="false">INDEX(Actividades!$L$5:$L$17,MATCH($B35,Actividades!$A$5:$A$17,0))</f>
        <v>2</v>
      </c>
      <c r="G35" s="18" t="n">
        <f aca="false">IF($E35="✘",IF($J35=INDEX(Actividades!$F$5:$F$17,MATCH($B35,Actividades!$A$5:$A$17,0)),0,G31),IF($J35=INDEX(Actividades!$G$5:$G$17,MATCH($B35,Actividades!$A$5:$A$17,0)),1,IF(AND($I35&lt;&gt;"—",$J35&gt;INDEX(Actividades!$F$5:$F$17,MATCH($B35,Actividades!$A$5:$A$17,0))),MIN(G31,MIN(0.95,ROUND(($J35-INDEX(Actividades!$F$5:$F$17,MATCH($B35,Actividades!$A$5:$A$17,0))+1)/(INDEX(Actividades!$G$5:$G$17,MATCH($B35,Actividades!$A$5:$A$17,0))-INDEX(Actividades!$F$5:$F$17,MATCH($B35,Actividades!$A$5:$A$17,0))+1)*20,0)/20)),MIN(0.95,ROUND(($J35-INDEX(Actividades!$F$5:$F$17,MATCH($B35,Actividades!$A$5:$A$17,0))+1)/(INDEX(Actividades!$G$5:$G$17,MATCH($B35,Actividades!$A$5:$A$17,0))-INDEX(Actividades!$F$5:$F$17,MATCH($B35,Actividades!$A$5:$A$17,0))+1)*20,0)/20))))</f>
        <v>0.25</v>
      </c>
      <c r="H35" s="15" t="str">
        <f aca="false">IF($E35="✘","Ausente: no asistió al daily (sin reporte)",IFERROR(INDEX(Impedimentos!$E$5:$E$60,MATCH(B35&amp;"|"&amp;J35,Impedimentos!$F$5:$F$60,0)),"Sin impedimentos"))</f>
        <v>Ausente: no asistió al daily (sin reporte)</v>
      </c>
      <c r="I35" s="15" t="str">
        <f aca="false">IF($E35="✘","—",IFERROR(INDEX(Impedimentos!$D$5:$D$60,MATCH(B35&amp;"|"&amp;J35,Impedimentos!$F$5:$F$60,0)),"—"))</f>
        <v>—</v>
      </c>
      <c r="J35" s="19" t="n">
        <f aca="false">INT((ROW()-6)/4)+1</f>
        <v>8</v>
      </c>
    </row>
    <row r="36" customFormat="false" ht="42" hidden="false" customHeight="true" outlineLevel="0" collapsed="false">
      <c r="A36" s="13" t="n">
        <f aca="false">INDEX(Config!$C$12:$C$31,J36)</f>
        <v>46286</v>
      </c>
      <c r="B36" s="14" t="str">
        <f aca="false">INDEX(Actividades!$A$5:$A$17,SUMPRODUCT((Actividades!$C$5:$C$17=D36)*(Actividades!$F$5:$F$17&lt;=J36)*(Actividades!$G$5:$G$17&gt;=J36)*(ROW(Actividades!$C$5:$C$17)-4)))</f>
        <v>SCR-11</v>
      </c>
      <c r="C36" s="15" t="str">
        <f aca="false">INDEX(Actividades!$B$5:$B$17,MATCH($B36,Actividades!$A$5:$A$17,0))</f>
        <v>Elaborar el borrador de la matriz Canvas de ElDesparche.</v>
      </c>
      <c r="D36" s="15" t="str">
        <f aca="false">INDEX(Config!$A$12:$A$15,MOD(ROW()-6,4)+1)</f>
        <v>ISSABHELLA ALARCON MORENO</v>
      </c>
      <c r="E36" s="16" t="s">
        <v>12</v>
      </c>
      <c r="F36" s="17" t="n">
        <f aca="false">INDEX(Actividades!$L$5:$L$17,MATCH($B36,Actividades!$A$5:$A$17,0))</f>
        <v>2</v>
      </c>
      <c r="G36" s="18" t="n">
        <f aca="false">IF($E36="✘",IF($J36=INDEX(Actividades!$F$5:$F$17,MATCH($B36,Actividades!$A$5:$A$17,0)),0,G32),IF($J36=INDEX(Actividades!$G$5:$G$17,MATCH($B36,Actividades!$A$5:$A$17,0)),1,IF(AND($I36&lt;&gt;"—",$J36&gt;INDEX(Actividades!$F$5:$F$17,MATCH($B36,Actividades!$A$5:$A$17,0))),MIN(G32,MIN(0.95,ROUND(($J36-INDEX(Actividades!$F$5:$F$17,MATCH($B36,Actividades!$A$5:$A$17,0))+1)/(INDEX(Actividades!$G$5:$G$17,MATCH($B36,Actividades!$A$5:$A$17,0))-INDEX(Actividades!$F$5:$F$17,MATCH($B36,Actividades!$A$5:$A$17,0))+1)*20,0)/20)),MIN(0.95,ROUND(($J36-INDEX(Actividades!$F$5:$F$17,MATCH($B36,Actividades!$A$5:$A$17,0))+1)/(INDEX(Actividades!$G$5:$G$17,MATCH($B36,Actividades!$A$5:$A$17,0))-INDEX(Actividades!$F$5:$F$17,MATCH($B36,Actividades!$A$5:$A$17,0))+1)*20,0)/20))))</f>
        <v>0.25</v>
      </c>
      <c r="H36" s="15" t="str">
        <f aca="false">IF($E36="✘","Ausente: no asistió al daily (sin reporte)",IFERROR(INDEX(Impedimentos!$E$5:$E$60,MATCH(B36&amp;"|"&amp;J36,Impedimentos!$F$5:$F$60,0)),"Sin impedimentos"))</f>
        <v>Sin consenso sobre los bloques del Canvas (propuesta de valor y segmentos).</v>
      </c>
      <c r="I36" s="15" t="str">
        <f aca="false">IF($E36="✘","—",IFERROR(INDEX(Impedimentos!$D$5:$D$60,MATCH(B36&amp;"|"&amp;J36,Impedimentos!$F$5:$F$60,0)),"—"))</f>
        <v>Toma de decisiones</v>
      </c>
      <c r="J36" s="19" t="n">
        <f aca="false">INT((ROW()-6)/4)+1</f>
        <v>8</v>
      </c>
    </row>
    <row r="37" customFormat="false" ht="42" hidden="false" customHeight="true" outlineLevel="0" collapsed="false">
      <c r="A37" s="13" t="n">
        <f aca="false">INDEX(Config!$C$12:$C$31,J37)</f>
        <v>46286</v>
      </c>
      <c r="B37" s="14" t="str">
        <f aca="false">INDEX(Actividades!$A$5:$A$17,SUMPRODUCT((Actividades!$C$5:$C$17=D37)*(Actividades!$F$5:$F$17&lt;=J37)*(Actividades!$G$5:$G$17&gt;=J37)*(ROW(Actividades!$C$5:$C$17)-4)))</f>
        <v>SCR-14</v>
      </c>
      <c r="C37" s="15" t="str">
        <f aca="false">INDEX(Actividades!$B$5:$B$17,MATCH($B37,Actividades!$A$5:$A$17,0))</f>
        <v>Consolidar la matriz Canvas final de ElDesparche.</v>
      </c>
      <c r="D37" s="15" t="str">
        <f aca="false">INDEX(Config!$A$12:$A$15,MOD(ROW()-6,4)+1)</f>
        <v>VALENTINA ISABEL OSORIO MORAN</v>
      </c>
      <c r="E37" s="16" t="s">
        <v>12</v>
      </c>
      <c r="F37" s="17" t="n">
        <f aca="false">INDEX(Actividades!$L$5:$L$17,MATCH($B37,Actividades!$A$5:$A$17,0))</f>
        <v>5</v>
      </c>
      <c r="G37" s="18" t="n">
        <f aca="false">IF($E37="✘",IF($J37=INDEX(Actividades!$F$5:$F$17,MATCH($B37,Actividades!$A$5:$A$17,0)),0,G33),IF($J37=INDEX(Actividades!$G$5:$G$17,MATCH($B37,Actividades!$A$5:$A$17,0)),1,IF(AND($I37&lt;&gt;"—",$J37&gt;INDEX(Actividades!$F$5:$F$17,MATCH($B37,Actividades!$A$5:$A$17,0))),MIN(G33,MIN(0.95,ROUND(($J37-INDEX(Actividades!$F$5:$F$17,MATCH($B37,Actividades!$A$5:$A$17,0))+1)/(INDEX(Actividades!$G$5:$G$17,MATCH($B37,Actividades!$A$5:$A$17,0))-INDEX(Actividades!$F$5:$F$17,MATCH($B37,Actividades!$A$5:$A$17,0))+1)*20,0)/20)),MIN(0.95,ROUND(($J37-INDEX(Actividades!$F$5:$F$17,MATCH($B37,Actividades!$A$5:$A$17,0))+1)/(INDEX(Actividades!$G$5:$G$17,MATCH($B37,Actividades!$A$5:$A$17,0))-INDEX(Actividades!$F$5:$F$17,MATCH($B37,Actividades!$A$5:$A$17,0))+1)*20,0)/20))))</f>
        <v>0.5</v>
      </c>
      <c r="H37" s="15" t="str">
        <f aca="false">IF($E37="✘","Ausente: no asistió al daily (sin reporte)",IFERROR(INDEX(Impedimentos!$E$5:$E$60,MATCH(B37&amp;"|"&amp;J37,Impedimentos!$F$5:$F$60,0)),"Sin impedimentos"))</f>
        <v>Sin impedimentos</v>
      </c>
      <c r="I37" s="15" t="str">
        <f aca="false">IF($E37="✘","—",IFERROR(INDEX(Impedimentos!$D$5:$D$60,MATCH(B37&amp;"|"&amp;J37,Impedimentos!$F$5:$F$60,0)),"—"))</f>
        <v>—</v>
      </c>
      <c r="J37" s="19" t="n">
        <f aca="false">INT((ROW()-6)/4)+1</f>
        <v>8</v>
      </c>
    </row>
    <row r="38" customFormat="false" ht="42" hidden="false" customHeight="true" outlineLevel="0" collapsed="false">
      <c r="A38" s="6" t="n">
        <f aca="false">INDEX(Config!$C$12:$C$31,J38)</f>
        <v>46287</v>
      </c>
      <c r="B38" s="7" t="str">
        <f aca="false">INDEX(Actividades!$A$5:$A$17,SUMPRODUCT((Actividades!$C$5:$C$17=D38)*(Actividades!$F$5:$F$17&lt;=J38)*(Actividades!$G$5:$G$17&gt;=J38)*(ROW(Actividades!$C$5:$C$17)-4)))</f>
        <v>SCR-5</v>
      </c>
      <c r="C38" s="8" t="str">
        <f aca="false">INDEX(Actividades!$B$5:$B$17,MATCH($B38,Actividades!$A$5:$A$17,0))</f>
        <v>Diseñar el modelo de base de datos (entidades, relaciones y llaves) del sistema de eventos y reservas.</v>
      </c>
      <c r="D38" s="8" t="str">
        <f aca="false">INDEX(Config!$A$12:$A$15,MOD(ROW()-6,4)+1)</f>
        <v>EMMANUEL OBANDO SANCHEZ</v>
      </c>
      <c r="E38" s="9" t="s">
        <v>12</v>
      </c>
      <c r="F38" s="10" t="n">
        <f aca="false">INDEX(Actividades!$L$5:$L$17,MATCH($B38,Actividades!$A$5:$A$17,0))</f>
        <v>3</v>
      </c>
      <c r="G38" s="11" t="n">
        <f aca="false">IF($E38="✘",IF($J38=INDEX(Actividades!$F$5:$F$17,MATCH($B38,Actividades!$A$5:$A$17,0)),0,G34),IF($J38=INDEX(Actividades!$G$5:$G$17,MATCH($B38,Actividades!$A$5:$A$17,0)),1,IF(AND($I38&lt;&gt;"—",$J38&gt;INDEX(Actividades!$F$5:$F$17,MATCH($B38,Actividades!$A$5:$A$17,0))),MIN(G34,MIN(0.95,ROUND(($J38-INDEX(Actividades!$F$5:$F$17,MATCH($B38,Actividades!$A$5:$A$17,0))+1)/(INDEX(Actividades!$G$5:$G$17,MATCH($B38,Actividades!$A$5:$A$17,0))-INDEX(Actividades!$F$5:$F$17,MATCH($B38,Actividades!$A$5:$A$17,0))+1)*20,0)/20)),MIN(0.95,ROUND(($J38-INDEX(Actividades!$F$5:$F$17,MATCH($B38,Actividades!$A$5:$A$17,0))+1)/(INDEX(Actividades!$G$5:$G$17,MATCH($B38,Actividades!$A$5:$A$17,0))-INDEX(Actividades!$F$5:$F$17,MATCH($B38,Actividades!$A$5:$A$17,0))+1)*20,0)/20))))</f>
        <v>1</v>
      </c>
      <c r="H38" s="8" t="str">
        <f aca="false">IF($E38="✘","Ausente: no asistió al daily (sin reporte)",IFERROR(INDEX(Impedimentos!$E$5:$E$60,MATCH(B38&amp;"|"&amp;J38,Impedimentos!$F$5:$F$60,0)),"Sin impedimentos"))</f>
        <v>Sin impedimentos</v>
      </c>
      <c r="I38" s="8" t="str">
        <f aca="false">IF($E38="✘","—",IFERROR(INDEX(Impedimentos!$D$5:$D$60,MATCH(B38&amp;"|"&amp;J38,Impedimentos!$F$5:$F$60,0)),"—"))</f>
        <v>—</v>
      </c>
      <c r="J38" s="12" t="n">
        <f aca="false">INT((ROW()-6)/4)+1</f>
        <v>9</v>
      </c>
    </row>
    <row r="39" customFormat="false" ht="42" hidden="false" customHeight="true" outlineLevel="0" collapsed="false">
      <c r="A39" s="6" t="n">
        <f aca="false">INDEX(Config!$C$12:$C$31,J39)</f>
        <v>46287</v>
      </c>
      <c r="B39" s="7" t="str">
        <f aca="false">INDEX(Actividades!$A$5:$A$17,SUMPRODUCT((Actividades!$C$5:$C$17=D39)*(Actividades!$F$5:$F$17&lt;=J39)*(Actividades!$G$5:$G$17&gt;=J39)*(ROW(Actividades!$C$5:$C$17)-4)))</f>
        <v>SCR-8</v>
      </c>
      <c r="C39" s="8" t="str">
        <f aca="false">INDEX(Actividades!$B$5:$B$17,MATCH($B39,Actividades!$A$5:$A$17,0))</f>
        <v>Crear en PostgreSQL las tablas personas, teléfonos, clientes, agentes y administradores.</v>
      </c>
      <c r="D39" s="8" t="str">
        <f aca="false">INDEX(Config!$A$12:$A$15,MOD(ROW()-6,4)+1)</f>
        <v>JUAN SEBASTIAN JARAMILLO ORTIZ</v>
      </c>
      <c r="E39" s="9" t="s">
        <v>12</v>
      </c>
      <c r="F39" s="10" t="n">
        <f aca="false">INDEX(Actividades!$L$5:$L$17,MATCH($B39,Actividades!$A$5:$A$17,0))</f>
        <v>2</v>
      </c>
      <c r="G39" s="11" t="n">
        <f aca="false">IF($E39="✘",IF($J39=INDEX(Actividades!$F$5:$F$17,MATCH($B39,Actividades!$A$5:$A$17,0)),0,G35),IF($J39=INDEX(Actividades!$G$5:$G$17,MATCH($B39,Actividades!$A$5:$A$17,0)),1,IF(AND($I39&lt;&gt;"—",$J39&gt;INDEX(Actividades!$F$5:$F$17,MATCH($B39,Actividades!$A$5:$A$17,0))),MIN(G35,MIN(0.95,ROUND(($J39-INDEX(Actividades!$F$5:$F$17,MATCH($B39,Actividades!$A$5:$A$17,0))+1)/(INDEX(Actividades!$G$5:$G$17,MATCH($B39,Actividades!$A$5:$A$17,0))-INDEX(Actividades!$F$5:$F$17,MATCH($B39,Actividades!$A$5:$A$17,0))+1)*20,0)/20)),MIN(0.95,ROUND(($J39-INDEX(Actividades!$F$5:$F$17,MATCH($B39,Actividades!$A$5:$A$17,0))+1)/(INDEX(Actividades!$G$5:$G$17,MATCH($B39,Actividades!$A$5:$A$17,0))-INDEX(Actividades!$F$5:$F$17,MATCH($B39,Actividades!$A$5:$A$17,0))+1)*20,0)/20))))</f>
        <v>1</v>
      </c>
      <c r="H39" s="8" t="str">
        <f aca="false">IF($E39="✘","Ausente: no asistió al daily (sin reporte)",IFERROR(INDEX(Impedimentos!$E$5:$E$60,MATCH(B39&amp;"|"&amp;J39,Impedimentos!$F$5:$F$60,0)),"Sin impedimentos"))</f>
        <v>Sin impedimentos</v>
      </c>
      <c r="I39" s="8" t="str">
        <f aca="false">IF($E39="✘","—",IFERROR(INDEX(Impedimentos!$D$5:$D$60,MATCH(B39&amp;"|"&amp;J39,Impedimentos!$F$5:$F$60,0)),"—"))</f>
        <v>—</v>
      </c>
      <c r="J39" s="12" t="n">
        <f aca="false">INT((ROW()-6)/4)+1</f>
        <v>9</v>
      </c>
    </row>
    <row r="40" customFormat="false" ht="42" hidden="false" customHeight="true" outlineLevel="0" collapsed="false">
      <c r="A40" s="6" t="n">
        <f aca="false">INDEX(Config!$C$12:$C$31,J40)</f>
        <v>46287</v>
      </c>
      <c r="B40" s="7" t="str">
        <f aca="false">INDEX(Actividades!$A$5:$A$17,SUMPRODUCT((Actividades!$C$5:$C$17=D40)*(Actividades!$F$5:$F$17&lt;=J40)*(Actividades!$G$5:$G$17&gt;=J40)*(ROW(Actividades!$C$5:$C$17)-4)))</f>
        <v>SCR-11</v>
      </c>
      <c r="C40" s="8" t="str">
        <f aca="false">INDEX(Actividades!$B$5:$B$17,MATCH($B40,Actividades!$A$5:$A$17,0))</f>
        <v>Elaborar el borrador de la matriz Canvas de ElDesparche.</v>
      </c>
      <c r="D40" s="8" t="str">
        <f aca="false">INDEX(Config!$A$12:$A$15,MOD(ROW()-6,4)+1)</f>
        <v>ISSABHELLA ALARCON MORENO</v>
      </c>
      <c r="E40" s="9" t="s">
        <v>12</v>
      </c>
      <c r="F40" s="10" t="n">
        <f aca="false">INDEX(Actividades!$L$5:$L$17,MATCH($B40,Actividades!$A$5:$A$17,0))</f>
        <v>2</v>
      </c>
      <c r="G40" s="11" t="n">
        <f aca="false">IF($E40="✘",IF($J40=INDEX(Actividades!$F$5:$F$17,MATCH($B40,Actividades!$A$5:$A$17,0)),0,G36),IF($J40=INDEX(Actividades!$G$5:$G$17,MATCH($B40,Actividades!$A$5:$A$17,0)),1,IF(AND($I40&lt;&gt;"—",$J40&gt;INDEX(Actividades!$F$5:$F$17,MATCH($B40,Actividades!$A$5:$A$17,0))),MIN(G36,MIN(0.95,ROUND(($J40-INDEX(Actividades!$F$5:$F$17,MATCH($B40,Actividades!$A$5:$A$17,0))+1)/(INDEX(Actividades!$G$5:$G$17,MATCH($B40,Actividades!$A$5:$A$17,0))-INDEX(Actividades!$F$5:$F$17,MATCH($B40,Actividades!$A$5:$A$17,0))+1)*20,0)/20)),MIN(0.95,ROUND(($J40-INDEX(Actividades!$F$5:$F$17,MATCH($B40,Actividades!$A$5:$A$17,0))+1)/(INDEX(Actividades!$G$5:$G$17,MATCH($B40,Actividades!$A$5:$A$17,0))-INDEX(Actividades!$F$5:$F$17,MATCH($B40,Actividades!$A$5:$A$17,0))+1)*20,0)/20))))</f>
        <v>0.75</v>
      </c>
      <c r="H40" s="8" t="str">
        <f aca="false">IF($E40="✘","Ausente: no asistió al daily (sin reporte)",IFERROR(INDEX(Impedimentos!$E$5:$E$60,MATCH(B40&amp;"|"&amp;J40,Impedimentos!$F$5:$F$60,0)),"Sin impedimentos"))</f>
        <v>Sin impedimentos</v>
      </c>
      <c r="I40" s="8" t="str">
        <f aca="false">IF($E40="✘","—",IFERROR(INDEX(Impedimentos!$D$5:$D$60,MATCH(B40&amp;"|"&amp;J40,Impedimentos!$F$5:$F$60,0)),"—"))</f>
        <v>—</v>
      </c>
      <c r="J40" s="12" t="n">
        <f aca="false">INT((ROW()-6)/4)+1</f>
        <v>9</v>
      </c>
    </row>
    <row r="41" customFormat="false" ht="42" hidden="false" customHeight="true" outlineLevel="0" collapsed="false">
      <c r="A41" s="6" t="n">
        <f aca="false">INDEX(Config!$C$12:$C$31,J41)</f>
        <v>46287</v>
      </c>
      <c r="B41" s="7" t="str">
        <f aca="false">INDEX(Actividades!$A$5:$A$17,SUMPRODUCT((Actividades!$C$5:$C$17=D41)*(Actividades!$F$5:$F$17&lt;=J41)*(Actividades!$G$5:$G$17&gt;=J41)*(ROW(Actividades!$C$5:$C$17)-4)))</f>
        <v>SCR-14</v>
      </c>
      <c r="C41" s="8" t="str">
        <f aca="false">INDEX(Actividades!$B$5:$B$17,MATCH($B41,Actividades!$A$5:$A$17,0))</f>
        <v>Consolidar la matriz Canvas final de ElDesparche.</v>
      </c>
      <c r="D41" s="8" t="str">
        <f aca="false">INDEX(Config!$A$12:$A$15,MOD(ROW()-6,4)+1)</f>
        <v>VALENTINA ISABEL OSORIO MORAN</v>
      </c>
      <c r="E41" s="9" t="s">
        <v>13</v>
      </c>
      <c r="F41" s="10" t="n">
        <f aca="false">INDEX(Actividades!$L$5:$L$17,MATCH($B41,Actividades!$A$5:$A$17,0))</f>
        <v>5</v>
      </c>
      <c r="G41" s="11" t="n">
        <f aca="false">IF($E41="✘",IF($J41=INDEX(Actividades!$F$5:$F$17,MATCH($B41,Actividades!$A$5:$A$17,0)),0,G37),IF($J41=INDEX(Actividades!$G$5:$G$17,MATCH($B41,Actividades!$A$5:$A$17,0)),1,IF(AND($I41&lt;&gt;"—",$J41&gt;INDEX(Actividades!$F$5:$F$17,MATCH($B41,Actividades!$A$5:$A$17,0))),MIN(G37,MIN(0.95,ROUND(($J41-INDEX(Actividades!$F$5:$F$17,MATCH($B41,Actividades!$A$5:$A$17,0))+1)/(INDEX(Actividades!$G$5:$G$17,MATCH($B41,Actividades!$A$5:$A$17,0))-INDEX(Actividades!$F$5:$F$17,MATCH($B41,Actividades!$A$5:$A$17,0))+1)*20,0)/20)),MIN(0.95,ROUND(($J41-INDEX(Actividades!$F$5:$F$17,MATCH($B41,Actividades!$A$5:$A$17,0))+1)/(INDEX(Actividades!$G$5:$G$17,MATCH($B41,Actividades!$A$5:$A$17,0))-INDEX(Actividades!$F$5:$F$17,MATCH($B41,Actividades!$A$5:$A$17,0))+1)*20,0)/20))))</f>
        <v>0.5</v>
      </c>
      <c r="H41" s="8" t="str">
        <f aca="false">IF($E41="✘","Ausente: no asistió al daily (sin reporte)",IFERROR(INDEX(Impedimentos!$E$5:$E$60,MATCH(B41&amp;"|"&amp;J41,Impedimentos!$F$5:$F$60,0)),"Sin impedimentos"))</f>
        <v>Ausente: no asistió al daily (sin reporte)</v>
      </c>
      <c r="I41" s="8" t="str">
        <f aca="false">IF($E41="✘","—",IFERROR(INDEX(Impedimentos!$D$5:$D$60,MATCH(B41&amp;"|"&amp;J41,Impedimentos!$F$5:$F$60,0)),"—"))</f>
        <v>—</v>
      </c>
      <c r="J41" s="12" t="n">
        <f aca="false">INT((ROW()-6)/4)+1</f>
        <v>9</v>
      </c>
    </row>
    <row r="42" customFormat="false" ht="42" hidden="false" customHeight="true" outlineLevel="0" collapsed="false">
      <c r="A42" s="13" t="n">
        <f aca="false">INDEX(Config!$C$12:$C$31,J42)</f>
        <v>46288</v>
      </c>
      <c r="B42" s="14" t="str">
        <f aca="false">INDEX(Actividades!$A$5:$A$17,SUMPRODUCT((Actividades!$C$5:$C$17=D42)*(Actividades!$F$5:$F$17&lt;=J42)*(Actividades!$G$5:$G$17&gt;=J42)*(ROW(Actividades!$C$5:$C$17)-4)))</f>
        <v>SCR-6</v>
      </c>
      <c r="C42" s="15" t="str">
        <f aca="false">INDEX(Actividades!$B$5:$B$17,MATCH($B42,Actividades!$A$5:$A$17,0))</f>
        <v>Configurar la arquitectura MVC del backend (modelos, controladores, rutas y carpetas).</v>
      </c>
      <c r="D42" s="15" t="str">
        <f aca="false">INDEX(Config!$A$12:$A$15,MOD(ROW()-6,4)+1)</f>
        <v>EMMANUEL OBANDO SANCHEZ</v>
      </c>
      <c r="E42" s="16" t="s">
        <v>12</v>
      </c>
      <c r="F42" s="17" t="n">
        <f aca="false">INDEX(Actividades!$L$5:$L$17,MATCH($B42,Actividades!$A$5:$A$17,0))</f>
        <v>1</v>
      </c>
      <c r="G42" s="18" t="n">
        <f aca="false">IF($E42="✘",IF($J42=INDEX(Actividades!$F$5:$F$17,MATCH($B42,Actividades!$A$5:$A$17,0)),0,G38),IF($J42=INDEX(Actividades!$G$5:$G$17,MATCH($B42,Actividades!$A$5:$A$17,0)),1,IF(AND($I42&lt;&gt;"—",$J42&gt;INDEX(Actividades!$F$5:$F$17,MATCH($B42,Actividades!$A$5:$A$17,0))),MIN(G38,MIN(0.95,ROUND(($J42-INDEX(Actividades!$F$5:$F$17,MATCH($B42,Actividades!$A$5:$A$17,0))+1)/(INDEX(Actividades!$G$5:$G$17,MATCH($B42,Actividades!$A$5:$A$17,0))-INDEX(Actividades!$F$5:$F$17,MATCH($B42,Actividades!$A$5:$A$17,0))+1)*20,0)/20)),MIN(0.95,ROUND(($J42-INDEX(Actividades!$F$5:$F$17,MATCH($B42,Actividades!$A$5:$A$17,0))+1)/(INDEX(Actividades!$G$5:$G$17,MATCH($B42,Actividades!$A$5:$A$17,0))-INDEX(Actividades!$F$5:$F$17,MATCH($B42,Actividades!$A$5:$A$17,0))+1)*20,0)/20))))</f>
        <v>0.2</v>
      </c>
      <c r="H42" s="15" t="str">
        <f aca="false">IF($E42="✘","Ausente: no asistió al daily (sin reporte)",IFERROR(INDEX(Impedimentos!$E$5:$E$60,MATCH(B42&amp;"|"&amp;J42,Impedimentos!$F$5:$F$60,0)),"Sin impedimentos"))</f>
        <v>Estructura de carpetas del backend no definida (rutas, controladores, modelos).</v>
      </c>
      <c r="I42" s="15" t="str">
        <f aca="false">IF($E42="✘","—",IFERROR(INDEX(Impedimentos!$D$5:$D$60,MATCH(B42&amp;"|"&amp;J42,Impedimentos!$F$5:$F$60,0)),"—"))</f>
        <v>Estructura del proyecto</v>
      </c>
      <c r="J42" s="19" t="n">
        <f aca="false">INT((ROW()-6)/4)+1</f>
        <v>10</v>
      </c>
    </row>
    <row r="43" customFormat="false" ht="42" hidden="false" customHeight="true" outlineLevel="0" collapsed="false">
      <c r="A43" s="13" t="n">
        <f aca="false">INDEX(Config!$C$12:$C$31,J43)</f>
        <v>46288</v>
      </c>
      <c r="B43" s="14" t="str">
        <f aca="false">INDEX(Actividades!$A$5:$A$17,SUMPRODUCT((Actividades!$C$5:$C$17=D43)*(Actividades!$F$5:$F$17&lt;=J43)*(Actividades!$G$5:$G$17&gt;=J43)*(ROW(Actividades!$C$5:$C$17)-4)))</f>
        <v>SCR-9</v>
      </c>
      <c r="C43" s="15" t="str">
        <f aca="false">INDEX(Actividades!$B$5:$B$17,MATCH($B43,Actividades!$A$5:$A$17,0))</f>
        <v>Crear en PostgreSQL las tablas eventos y reservas con sus relaciones.</v>
      </c>
      <c r="D43" s="15" t="str">
        <f aca="false">INDEX(Config!$A$12:$A$15,MOD(ROW()-6,4)+1)</f>
        <v>JUAN SEBASTIAN JARAMILLO ORTIZ</v>
      </c>
      <c r="E43" s="16" t="s">
        <v>12</v>
      </c>
      <c r="F43" s="17" t="n">
        <f aca="false">INDEX(Actividades!$L$5:$L$17,MATCH($B43,Actividades!$A$5:$A$17,0))</f>
        <v>1</v>
      </c>
      <c r="G43" s="18" t="n">
        <f aca="false">IF($E43="✘",IF($J43=INDEX(Actividades!$F$5:$F$17,MATCH($B43,Actividades!$A$5:$A$17,0)),0,G39),IF($J43=INDEX(Actividades!$G$5:$G$17,MATCH($B43,Actividades!$A$5:$A$17,0)),1,IF(AND($I43&lt;&gt;"—",$J43&gt;INDEX(Actividades!$F$5:$F$17,MATCH($B43,Actividades!$A$5:$A$17,0))),MIN(G39,MIN(0.95,ROUND(($J43-INDEX(Actividades!$F$5:$F$17,MATCH($B43,Actividades!$A$5:$A$17,0))+1)/(INDEX(Actividades!$G$5:$G$17,MATCH($B43,Actividades!$A$5:$A$17,0))-INDEX(Actividades!$F$5:$F$17,MATCH($B43,Actividades!$A$5:$A$17,0))+1)*20,0)/20)),MIN(0.95,ROUND(($J43-INDEX(Actividades!$F$5:$F$17,MATCH($B43,Actividades!$A$5:$A$17,0))+1)/(INDEX(Actividades!$G$5:$G$17,MATCH($B43,Actividades!$A$5:$A$17,0))-INDEX(Actividades!$F$5:$F$17,MATCH($B43,Actividades!$A$5:$A$17,0))+1)*20,0)/20))))</f>
        <v>0.2</v>
      </c>
      <c r="H43" s="15" t="str">
        <f aca="false">IF($E43="✘","Ausente: no asistió al daily (sin reporte)",IFERROR(INDEX(Impedimentos!$E$5:$E$60,MATCH(B43&amp;"|"&amp;J43,Impedimentos!$F$5:$F$60,0)),"Sin impedimentos"))</f>
        <v>Sin impedimentos</v>
      </c>
      <c r="I43" s="15" t="str">
        <f aca="false">IF($E43="✘","—",IFERROR(INDEX(Impedimentos!$D$5:$D$60,MATCH(B43&amp;"|"&amp;J43,Impedimentos!$F$5:$F$60,0)),"—"))</f>
        <v>—</v>
      </c>
      <c r="J43" s="19" t="n">
        <f aca="false">INT((ROW()-6)/4)+1</f>
        <v>10</v>
      </c>
    </row>
    <row r="44" customFormat="false" ht="42" hidden="false" customHeight="true" outlineLevel="0" collapsed="false">
      <c r="A44" s="13" t="n">
        <f aca="false">INDEX(Config!$C$12:$C$31,J44)</f>
        <v>46288</v>
      </c>
      <c r="B44" s="14" t="str">
        <f aca="false">INDEX(Actividades!$A$5:$A$17,SUMPRODUCT((Actividades!$C$5:$C$17=D44)*(Actividades!$F$5:$F$17&lt;=J44)*(Actividades!$G$5:$G$17&gt;=J44)*(ROW(Actividades!$C$5:$C$17)-4)))</f>
        <v>SCR-11</v>
      </c>
      <c r="C44" s="15" t="str">
        <f aca="false">INDEX(Actividades!$B$5:$B$17,MATCH($B44,Actividades!$A$5:$A$17,0))</f>
        <v>Elaborar el borrador de la matriz Canvas de ElDesparche.</v>
      </c>
      <c r="D44" s="15" t="str">
        <f aca="false">INDEX(Config!$A$12:$A$15,MOD(ROW()-6,4)+1)</f>
        <v>ISSABHELLA ALARCON MORENO</v>
      </c>
      <c r="E44" s="16" t="s">
        <v>12</v>
      </c>
      <c r="F44" s="17" t="n">
        <f aca="false">INDEX(Actividades!$L$5:$L$17,MATCH($B44,Actividades!$A$5:$A$17,0))</f>
        <v>2</v>
      </c>
      <c r="G44" s="18" t="n">
        <f aca="false">IF($E44="✘",IF($J44=INDEX(Actividades!$F$5:$F$17,MATCH($B44,Actividades!$A$5:$A$17,0)),0,G40),IF($J44=INDEX(Actividades!$G$5:$G$17,MATCH($B44,Actividades!$A$5:$A$17,0)),1,IF(AND($I44&lt;&gt;"—",$J44&gt;INDEX(Actividades!$F$5:$F$17,MATCH($B44,Actividades!$A$5:$A$17,0))),MIN(G40,MIN(0.95,ROUND(($J44-INDEX(Actividades!$F$5:$F$17,MATCH($B44,Actividades!$A$5:$A$17,0))+1)/(INDEX(Actividades!$G$5:$G$17,MATCH($B44,Actividades!$A$5:$A$17,0))-INDEX(Actividades!$F$5:$F$17,MATCH($B44,Actividades!$A$5:$A$17,0))+1)*20,0)/20)),MIN(0.95,ROUND(($J44-INDEX(Actividades!$F$5:$F$17,MATCH($B44,Actividades!$A$5:$A$17,0))+1)/(INDEX(Actividades!$G$5:$G$17,MATCH($B44,Actividades!$A$5:$A$17,0))-INDEX(Actividades!$F$5:$F$17,MATCH($B44,Actividades!$A$5:$A$17,0))+1)*20,0)/20))))</f>
        <v>1</v>
      </c>
      <c r="H44" s="15" t="str">
        <f aca="false">IF($E44="✘","Ausente: no asistió al daily (sin reporte)",IFERROR(INDEX(Impedimentos!$E$5:$E$60,MATCH(B44&amp;"|"&amp;J44,Impedimentos!$F$5:$F$60,0)),"Sin impedimentos"))</f>
        <v>Sin impedimentos</v>
      </c>
      <c r="I44" s="15" t="str">
        <f aca="false">IF($E44="✘","—",IFERROR(INDEX(Impedimentos!$D$5:$D$60,MATCH(B44&amp;"|"&amp;J44,Impedimentos!$F$5:$F$60,0)),"—"))</f>
        <v>—</v>
      </c>
      <c r="J44" s="19" t="n">
        <f aca="false">INT((ROW()-6)/4)+1</f>
        <v>10</v>
      </c>
    </row>
    <row r="45" customFormat="false" ht="42" hidden="false" customHeight="true" outlineLevel="0" collapsed="false">
      <c r="A45" s="13" t="n">
        <f aca="false">INDEX(Config!$C$12:$C$31,J45)</f>
        <v>46288</v>
      </c>
      <c r="B45" s="14" t="str">
        <f aca="false">INDEX(Actividades!$A$5:$A$17,SUMPRODUCT((Actividades!$C$5:$C$17=D45)*(Actividades!$F$5:$F$17&lt;=J45)*(Actividades!$G$5:$G$17&gt;=J45)*(ROW(Actividades!$C$5:$C$17)-4)))</f>
        <v>SCR-14</v>
      </c>
      <c r="C45" s="15" t="str">
        <f aca="false">INDEX(Actividades!$B$5:$B$17,MATCH($B45,Actividades!$A$5:$A$17,0))</f>
        <v>Consolidar la matriz Canvas final de ElDesparche.</v>
      </c>
      <c r="D45" s="15" t="str">
        <f aca="false">INDEX(Config!$A$12:$A$15,MOD(ROW()-6,4)+1)</f>
        <v>VALENTINA ISABEL OSORIO MORAN</v>
      </c>
      <c r="E45" s="16" t="s">
        <v>12</v>
      </c>
      <c r="F45" s="17" t="n">
        <f aca="false">INDEX(Actividades!$L$5:$L$17,MATCH($B45,Actividades!$A$5:$A$17,0))</f>
        <v>5</v>
      </c>
      <c r="G45" s="18" t="n">
        <f aca="false">IF($E45="✘",IF($J45=INDEX(Actividades!$F$5:$F$17,MATCH($B45,Actividades!$A$5:$A$17,0)),0,G41),IF($J45=INDEX(Actividades!$G$5:$G$17,MATCH($B45,Actividades!$A$5:$A$17,0)),1,IF(AND($I45&lt;&gt;"—",$J45&gt;INDEX(Actividades!$F$5:$F$17,MATCH($B45,Actividades!$A$5:$A$17,0))),MIN(G41,MIN(0.95,ROUND(($J45-INDEX(Actividades!$F$5:$F$17,MATCH($B45,Actividades!$A$5:$A$17,0))+1)/(INDEX(Actividades!$G$5:$G$17,MATCH($B45,Actividades!$A$5:$A$17,0))-INDEX(Actividades!$F$5:$F$17,MATCH($B45,Actividades!$A$5:$A$17,0))+1)*20,0)/20)),MIN(0.95,ROUND(($J45-INDEX(Actividades!$F$5:$F$17,MATCH($B45,Actividades!$A$5:$A$17,0))+1)/(INDEX(Actividades!$G$5:$G$17,MATCH($B45,Actividades!$A$5:$A$17,0))-INDEX(Actividades!$F$5:$F$17,MATCH($B45,Actividades!$A$5:$A$17,0))+1)*20,0)/20))))</f>
        <v>1</v>
      </c>
      <c r="H45" s="15" t="str">
        <f aca="false">IF($E45="✘","Ausente: no asistió al daily (sin reporte)",IFERROR(INDEX(Impedimentos!$E$5:$E$60,MATCH(B45&amp;"|"&amp;J45,Impedimentos!$F$5:$F$60,0)),"Sin impedimentos"))</f>
        <v>Sin impedimentos</v>
      </c>
      <c r="I45" s="15" t="str">
        <f aca="false">IF($E45="✘","—",IFERROR(INDEX(Impedimentos!$D$5:$D$60,MATCH(B45&amp;"|"&amp;J45,Impedimentos!$F$5:$F$60,0)),"—"))</f>
        <v>—</v>
      </c>
      <c r="J45" s="19" t="n">
        <f aca="false">INT((ROW()-6)/4)+1</f>
        <v>10</v>
      </c>
    </row>
    <row r="46" customFormat="false" ht="42" hidden="false" customHeight="true" outlineLevel="0" collapsed="false">
      <c r="A46" s="6" t="n">
        <f aca="false">INDEX(Config!$C$12:$C$31,J46)</f>
        <v>46289</v>
      </c>
      <c r="B46" s="7" t="str">
        <f aca="false">INDEX(Actividades!$A$5:$A$17,SUMPRODUCT((Actividades!$C$5:$C$17=D46)*(Actividades!$F$5:$F$17&lt;=J46)*(Actividades!$G$5:$G$17&gt;=J46)*(ROW(Actividades!$C$5:$C$17)-4)))</f>
        <v>SCR-6</v>
      </c>
      <c r="C46" s="8" t="str">
        <f aca="false">INDEX(Actividades!$B$5:$B$17,MATCH($B46,Actividades!$A$5:$A$17,0))</f>
        <v>Configurar la arquitectura MVC del backend (modelos, controladores, rutas y carpetas).</v>
      </c>
      <c r="D46" s="8" t="str">
        <f aca="false">INDEX(Config!$A$12:$A$15,MOD(ROW()-6,4)+1)</f>
        <v>EMMANUEL OBANDO SANCHEZ</v>
      </c>
      <c r="E46" s="9" t="s">
        <v>12</v>
      </c>
      <c r="F46" s="10" t="n">
        <f aca="false">INDEX(Actividades!$L$5:$L$17,MATCH($B46,Actividades!$A$5:$A$17,0))</f>
        <v>1</v>
      </c>
      <c r="G46" s="11" t="n">
        <f aca="false">IF($E46="✘",IF($J46=INDEX(Actividades!$F$5:$F$17,MATCH($B46,Actividades!$A$5:$A$17,0)),0,G42),IF($J46=INDEX(Actividades!$G$5:$G$17,MATCH($B46,Actividades!$A$5:$A$17,0)),1,IF(AND($I46&lt;&gt;"—",$J46&gt;INDEX(Actividades!$F$5:$F$17,MATCH($B46,Actividades!$A$5:$A$17,0))),MIN(G42,MIN(0.95,ROUND(($J46-INDEX(Actividades!$F$5:$F$17,MATCH($B46,Actividades!$A$5:$A$17,0))+1)/(INDEX(Actividades!$G$5:$G$17,MATCH($B46,Actividades!$A$5:$A$17,0))-INDEX(Actividades!$F$5:$F$17,MATCH($B46,Actividades!$A$5:$A$17,0))+1)*20,0)/20)),MIN(0.95,ROUND(($J46-INDEX(Actividades!$F$5:$F$17,MATCH($B46,Actividades!$A$5:$A$17,0))+1)/(INDEX(Actividades!$G$5:$G$17,MATCH($B46,Actividades!$A$5:$A$17,0))-INDEX(Actividades!$F$5:$F$17,MATCH($B46,Actividades!$A$5:$A$17,0))+1)*20,0)/20))))</f>
        <v>0.2</v>
      </c>
      <c r="H46" s="8" t="str">
        <f aca="false">IF($E46="✘","Ausente: no asistió al daily (sin reporte)",IFERROR(INDEX(Impedimentos!$E$5:$E$60,MATCH(B46&amp;"|"&amp;J46,Impedimentos!$F$5:$F$60,0)),"Sin impedimentos"))</f>
        <v>Poca experiencia con MVC: no está claro qué va en controlador, servicio y modelo.</v>
      </c>
      <c r="I46" s="8" t="str">
        <f aca="false">IF($E46="✘","—",IFERROR(INDEX(Impedimentos!$D$5:$D$60,MATCH(B46&amp;"|"&amp;J46,Impedimentos!$F$5:$F$60,0)),"—"))</f>
        <v>Conocimiento</v>
      </c>
      <c r="J46" s="12" t="n">
        <f aca="false">INT((ROW()-6)/4)+1</f>
        <v>11</v>
      </c>
    </row>
    <row r="47" customFormat="false" ht="42" hidden="false" customHeight="true" outlineLevel="0" collapsed="false">
      <c r="A47" s="6" t="n">
        <f aca="false">INDEX(Config!$C$12:$C$31,J47)</f>
        <v>46289</v>
      </c>
      <c r="B47" s="7" t="str">
        <f aca="false">INDEX(Actividades!$A$5:$A$17,SUMPRODUCT((Actividades!$C$5:$C$17=D47)*(Actividades!$F$5:$F$17&lt;=J47)*(Actividades!$G$5:$G$17&gt;=J47)*(ROW(Actividades!$C$5:$C$17)-4)))</f>
        <v>SCR-9</v>
      </c>
      <c r="C47" s="8" t="str">
        <f aca="false">INDEX(Actividades!$B$5:$B$17,MATCH($B47,Actividades!$A$5:$A$17,0))</f>
        <v>Crear en PostgreSQL las tablas eventos y reservas con sus relaciones.</v>
      </c>
      <c r="D47" s="8" t="str">
        <f aca="false">INDEX(Config!$A$12:$A$15,MOD(ROW()-6,4)+1)</f>
        <v>JUAN SEBASTIAN JARAMILLO ORTIZ</v>
      </c>
      <c r="E47" s="9" t="s">
        <v>12</v>
      </c>
      <c r="F47" s="10" t="n">
        <f aca="false">INDEX(Actividades!$L$5:$L$17,MATCH($B47,Actividades!$A$5:$A$17,0))</f>
        <v>1</v>
      </c>
      <c r="G47" s="11" t="n">
        <f aca="false">IF($E47="✘",IF($J47=INDEX(Actividades!$F$5:$F$17,MATCH($B47,Actividades!$A$5:$A$17,0)),0,G43),IF($J47=INDEX(Actividades!$G$5:$G$17,MATCH($B47,Actividades!$A$5:$A$17,0)),1,IF(AND($I47&lt;&gt;"—",$J47&gt;INDEX(Actividades!$F$5:$F$17,MATCH($B47,Actividades!$A$5:$A$17,0))),MIN(G43,MIN(0.95,ROUND(($J47-INDEX(Actividades!$F$5:$F$17,MATCH($B47,Actividades!$A$5:$A$17,0))+1)/(INDEX(Actividades!$G$5:$G$17,MATCH($B47,Actividades!$A$5:$A$17,0))-INDEX(Actividades!$F$5:$F$17,MATCH($B47,Actividades!$A$5:$A$17,0))+1)*20,0)/20)),MIN(0.95,ROUND(($J47-INDEX(Actividades!$F$5:$F$17,MATCH($B47,Actividades!$A$5:$A$17,0))+1)/(INDEX(Actividades!$G$5:$G$17,MATCH($B47,Actividades!$A$5:$A$17,0))-INDEX(Actividades!$F$5:$F$17,MATCH($B47,Actividades!$A$5:$A$17,0))+1)*20,0)/20))))</f>
        <v>0.2</v>
      </c>
      <c r="H47" s="8" t="str">
        <f aca="false">IF($E47="✘","Ausente: no asistió al daily (sin reporte)",IFERROR(INDEX(Impedimentos!$E$5:$E$60,MATCH(B47&amp;"|"&amp;J47,Impedimentos!$F$5:$F$60,0)),"Sin impedimentos"))</f>
        <v>Choque de criterios de los dos profesores de BD en tipos y llaves de eventos y reservas.</v>
      </c>
      <c r="I47" s="8" t="str">
        <f aca="false">IF($E47="✘","—",IFERROR(INDEX(Impedimentos!$D$5:$D$60,MATCH(B47&amp;"|"&amp;J47,Impedimentos!$F$5:$F$60,0)),"—"))</f>
        <v>Conflicto académico (BD)</v>
      </c>
      <c r="J47" s="12" t="n">
        <f aca="false">INT((ROW()-6)/4)+1</f>
        <v>11</v>
      </c>
    </row>
    <row r="48" customFormat="false" ht="42" hidden="false" customHeight="true" outlineLevel="0" collapsed="false">
      <c r="A48" s="6" t="n">
        <f aca="false">INDEX(Config!$C$12:$C$31,J48)</f>
        <v>46289</v>
      </c>
      <c r="B48" s="7" t="str">
        <f aca="false">INDEX(Actividades!$A$5:$A$17,SUMPRODUCT((Actividades!$C$5:$C$17=D48)*(Actividades!$F$5:$F$17&lt;=J48)*(Actividades!$G$5:$G$17&gt;=J48)*(ROW(Actividades!$C$5:$C$17)-4)))</f>
        <v>SCR-12</v>
      </c>
      <c r="C48" s="8" t="str">
        <f aca="false">INDEX(Actividades!$B$5:$B$17,MATCH($B48,Actividades!$A$5:$A$17,0))</f>
        <v>Construir el diagrama de Pareto con las causas de los problemas del proyecto.</v>
      </c>
      <c r="D48" s="8" t="str">
        <f aca="false">INDEX(Config!$A$12:$A$15,MOD(ROW()-6,4)+1)</f>
        <v>ISSABHELLA ALARCON MORENO</v>
      </c>
      <c r="E48" s="9" t="s">
        <v>12</v>
      </c>
      <c r="F48" s="10" t="n">
        <f aca="false">INDEX(Actividades!$L$5:$L$17,MATCH($B48,Actividades!$A$5:$A$17,0))</f>
        <v>2</v>
      </c>
      <c r="G48" s="11" t="n">
        <f aca="false">IF($E48="✘",IF($J48=INDEX(Actividades!$F$5:$F$17,MATCH($B48,Actividades!$A$5:$A$17,0)),0,G44),IF($J48=INDEX(Actividades!$G$5:$G$17,MATCH($B48,Actividades!$A$5:$A$17,0)),1,IF(AND($I48&lt;&gt;"—",$J48&gt;INDEX(Actividades!$F$5:$F$17,MATCH($B48,Actividades!$A$5:$A$17,0))),MIN(G44,MIN(0.95,ROUND(($J48-INDEX(Actividades!$F$5:$F$17,MATCH($B48,Actividades!$A$5:$A$17,0))+1)/(INDEX(Actividades!$G$5:$G$17,MATCH($B48,Actividades!$A$5:$A$17,0))-INDEX(Actividades!$F$5:$F$17,MATCH($B48,Actividades!$A$5:$A$17,0))+1)*20,0)/20)),MIN(0.95,ROUND(($J48-INDEX(Actividades!$F$5:$F$17,MATCH($B48,Actividades!$A$5:$A$17,0))+1)/(INDEX(Actividades!$G$5:$G$17,MATCH($B48,Actividades!$A$5:$A$17,0))-INDEX(Actividades!$F$5:$F$17,MATCH($B48,Actividades!$A$5:$A$17,0))+1)*20,0)/20))))</f>
        <v>0.25</v>
      </c>
      <c r="H48" s="8" t="str">
        <f aca="false">IF($E48="✘","Ausente: no asistió al daily (sin reporte)",IFERROR(INDEX(Impedimentos!$E$5:$E$60,MATCH(B48&amp;"|"&amp;J48,Impedimentos!$F$5:$F$60,0)),"Sin impedimentos"))</f>
        <v>Las causas del Pareto no están cuantificadas; dudas sobre frecuencia y porcentaje acumulado.</v>
      </c>
      <c r="I48" s="8" t="str">
        <f aca="false">IF($E48="✘","—",IFERROR(INDEX(Impedimentos!$D$5:$D$60,MATCH(B48&amp;"|"&amp;J48,Impedimentos!$F$5:$F$60,0)),"—"))</f>
        <v>Conocimiento</v>
      </c>
      <c r="J48" s="12" t="n">
        <f aca="false">INT((ROW()-6)/4)+1</f>
        <v>11</v>
      </c>
    </row>
    <row r="49" customFormat="false" ht="42" hidden="false" customHeight="true" outlineLevel="0" collapsed="false">
      <c r="A49" s="6" t="n">
        <f aca="false">INDEX(Config!$C$12:$C$31,J49)</f>
        <v>46289</v>
      </c>
      <c r="B49" s="7" t="str">
        <f aca="false">INDEX(Actividades!$A$5:$A$17,SUMPRODUCT((Actividades!$C$5:$C$17=D49)*(Actividades!$F$5:$F$17&lt;=J49)*(Actividades!$G$5:$G$17&gt;=J49)*(ROW(Actividades!$C$5:$C$17)-4)))</f>
        <v>SCR-15</v>
      </c>
      <c r="C49" s="8" t="str">
        <f aca="false">INDEX(Actividades!$B$5:$B$17,MATCH($B49,Actividades!$A$5:$A$17,0))</f>
        <v>Actualizar el análisis PESTEL a su versión 2 (Parches) con las correcciones.</v>
      </c>
      <c r="D49" s="8" t="str">
        <f aca="false">INDEX(Config!$A$12:$A$15,MOD(ROW()-6,4)+1)</f>
        <v>VALENTINA ISABEL OSORIO MORAN</v>
      </c>
      <c r="E49" s="9" t="s">
        <v>12</v>
      </c>
      <c r="F49" s="10" t="n">
        <f aca="false">INDEX(Actividades!$L$5:$L$17,MATCH($B49,Actividades!$A$5:$A$17,0))</f>
        <v>3</v>
      </c>
      <c r="G49" s="11" t="n">
        <f aca="false">IF($E49="✘",IF($J49=INDEX(Actividades!$F$5:$F$17,MATCH($B49,Actividades!$A$5:$A$17,0)),0,G45),IF($J49=INDEX(Actividades!$G$5:$G$17,MATCH($B49,Actividades!$A$5:$A$17,0)),1,IF(AND($I49&lt;&gt;"—",$J49&gt;INDEX(Actividades!$F$5:$F$17,MATCH($B49,Actividades!$A$5:$A$17,0))),MIN(G45,MIN(0.95,ROUND(($J49-INDEX(Actividades!$F$5:$F$17,MATCH($B49,Actividades!$A$5:$A$17,0))+1)/(INDEX(Actividades!$G$5:$G$17,MATCH($B49,Actividades!$A$5:$A$17,0))-INDEX(Actividades!$F$5:$F$17,MATCH($B49,Actividades!$A$5:$A$17,0))+1)*20,0)/20)),MIN(0.95,ROUND(($J49-INDEX(Actividades!$F$5:$F$17,MATCH($B49,Actividades!$A$5:$A$17,0))+1)/(INDEX(Actividades!$G$5:$G$17,MATCH($B49,Actividades!$A$5:$A$17,0))-INDEX(Actividades!$F$5:$F$17,MATCH($B49,Actividades!$A$5:$A$17,0))+1)*20,0)/20))))</f>
        <v>0.5</v>
      </c>
      <c r="H49" s="8" t="str">
        <f aca="false">IF($E49="✘","Ausente: no asistió al daily (sin reporte)",IFERROR(INDEX(Impedimentos!$E$5:$E$60,MATCH(B49&amp;"|"&amp;J49,Impedimentos!$F$5:$F$60,0)),"Sin impedimentos"))</f>
        <v>El PESTEL v1 no tiene formato uniforme y cuesta integrar los aportes de cada integrante.</v>
      </c>
      <c r="I49" s="8" t="str">
        <f aca="false">IF($E49="✘","—",IFERROR(INDEX(Impedimentos!$D$5:$D$60,MATCH(B49&amp;"|"&amp;J49,Impedimentos!$F$5:$F$60,0)),"—"))</f>
        <v>Estructura del proyecto</v>
      </c>
      <c r="J49" s="12" t="n">
        <f aca="false">INT((ROW()-6)/4)+1</f>
        <v>11</v>
      </c>
    </row>
    <row r="50" customFormat="false" ht="42" hidden="false" customHeight="true" outlineLevel="0" collapsed="false">
      <c r="A50" s="13" t="n">
        <f aca="false">INDEX(Config!$C$12:$C$31,J50)</f>
        <v>46290</v>
      </c>
      <c r="B50" s="14" t="str">
        <f aca="false">INDEX(Actividades!$A$5:$A$17,SUMPRODUCT((Actividades!$C$5:$C$17=D50)*(Actividades!$F$5:$F$17&lt;=J50)*(Actividades!$G$5:$G$17&gt;=J50)*(ROW(Actividades!$C$5:$C$17)-4)))</f>
        <v>SCR-6</v>
      </c>
      <c r="C50" s="15" t="str">
        <f aca="false">INDEX(Actividades!$B$5:$B$17,MATCH($B50,Actividades!$A$5:$A$17,0))</f>
        <v>Configurar la arquitectura MVC del backend (modelos, controladores, rutas y carpetas).</v>
      </c>
      <c r="D50" s="15" t="str">
        <f aca="false">INDEX(Config!$A$12:$A$15,MOD(ROW()-6,4)+1)</f>
        <v>EMMANUEL OBANDO SANCHEZ</v>
      </c>
      <c r="E50" s="16" t="s">
        <v>12</v>
      </c>
      <c r="F50" s="17" t="n">
        <f aca="false">INDEX(Actividades!$L$5:$L$17,MATCH($B50,Actividades!$A$5:$A$17,0))</f>
        <v>1</v>
      </c>
      <c r="G50" s="18" t="n">
        <f aca="false">IF($E50="✘",IF($J50=INDEX(Actividades!$F$5:$F$17,MATCH($B50,Actividades!$A$5:$A$17,0)),0,G46),IF($J50=INDEX(Actividades!$G$5:$G$17,MATCH($B50,Actividades!$A$5:$A$17,0)),1,IF(AND($I50&lt;&gt;"—",$J50&gt;INDEX(Actividades!$F$5:$F$17,MATCH($B50,Actividades!$A$5:$A$17,0))),MIN(G46,MIN(0.95,ROUND(($J50-INDEX(Actividades!$F$5:$F$17,MATCH($B50,Actividades!$A$5:$A$17,0))+1)/(INDEX(Actividades!$G$5:$G$17,MATCH($B50,Actividades!$A$5:$A$17,0))-INDEX(Actividades!$F$5:$F$17,MATCH($B50,Actividades!$A$5:$A$17,0))+1)*20,0)/20)),MIN(0.95,ROUND(($J50-INDEX(Actividades!$F$5:$F$17,MATCH($B50,Actividades!$A$5:$A$17,0))+1)/(INDEX(Actividades!$G$5:$G$17,MATCH($B50,Actividades!$A$5:$A$17,0))-INDEX(Actividades!$F$5:$F$17,MATCH($B50,Actividades!$A$5:$A$17,0))+1)*20,0)/20))))</f>
        <v>0.6</v>
      </c>
      <c r="H50" s="15" t="str">
        <f aca="false">IF($E50="✘","Ausente: no asistió al daily (sin reporte)",IFERROR(INDEX(Impedimentos!$E$5:$E$60,MATCH(B50&amp;"|"&amp;J50,Impedimentos!$F$5:$F$60,0)),"Sin impedimentos"))</f>
        <v>Sin impedimentos</v>
      </c>
      <c r="I50" s="15" t="str">
        <f aca="false">IF($E50="✘","—",IFERROR(INDEX(Impedimentos!$D$5:$D$60,MATCH(B50&amp;"|"&amp;J50,Impedimentos!$F$5:$F$60,0)),"—"))</f>
        <v>—</v>
      </c>
      <c r="J50" s="19" t="n">
        <f aca="false">INT((ROW()-6)/4)+1</f>
        <v>12</v>
      </c>
    </row>
    <row r="51" customFormat="false" ht="42" hidden="false" customHeight="true" outlineLevel="0" collapsed="false">
      <c r="A51" s="13" t="n">
        <f aca="false">INDEX(Config!$C$12:$C$31,J51)</f>
        <v>46290</v>
      </c>
      <c r="B51" s="14" t="str">
        <f aca="false">INDEX(Actividades!$A$5:$A$17,SUMPRODUCT((Actividades!$C$5:$C$17=D51)*(Actividades!$F$5:$F$17&lt;=J51)*(Actividades!$G$5:$G$17&gt;=J51)*(ROW(Actividades!$C$5:$C$17)-4)))</f>
        <v>SCR-9</v>
      </c>
      <c r="C51" s="15" t="str">
        <f aca="false">INDEX(Actividades!$B$5:$B$17,MATCH($B51,Actividades!$A$5:$A$17,0))</f>
        <v>Crear en PostgreSQL las tablas eventos y reservas con sus relaciones.</v>
      </c>
      <c r="D51" s="15" t="str">
        <f aca="false">INDEX(Config!$A$12:$A$15,MOD(ROW()-6,4)+1)</f>
        <v>JUAN SEBASTIAN JARAMILLO ORTIZ</v>
      </c>
      <c r="E51" s="16" t="s">
        <v>12</v>
      </c>
      <c r="F51" s="17" t="n">
        <f aca="false">INDEX(Actividades!$L$5:$L$17,MATCH($B51,Actividades!$A$5:$A$17,0))</f>
        <v>1</v>
      </c>
      <c r="G51" s="18" t="n">
        <f aca="false">IF($E51="✘",IF($J51=INDEX(Actividades!$F$5:$F$17,MATCH($B51,Actividades!$A$5:$A$17,0)),0,G47),IF($J51=INDEX(Actividades!$G$5:$G$17,MATCH($B51,Actividades!$A$5:$A$17,0)),1,IF(AND($I51&lt;&gt;"—",$J51&gt;INDEX(Actividades!$F$5:$F$17,MATCH($B51,Actividades!$A$5:$A$17,0))),MIN(G47,MIN(0.95,ROUND(($J51-INDEX(Actividades!$F$5:$F$17,MATCH($B51,Actividades!$A$5:$A$17,0))+1)/(INDEX(Actividades!$G$5:$G$17,MATCH($B51,Actividades!$A$5:$A$17,0))-INDEX(Actividades!$F$5:$F$17,MATCH($B51,Actividades!$A$5:$A$17,0))+1)*20,0)/20)),MIN(0.95,ROUND(($J51-INDEX(Actividades!$F$5:$F$17,MATCH($B51,Actividades!$A$5:$A$17,0))+1)/(INDEX(Actividades!$G$5:$G$17,MATCH($B51,Actividades!$A$5:$A$17,0))-INDEX(Actividades!$F$5:$F$17,MATCH($B51,Actividades!$A$5:$A$17,0))+1)*20,0)/20))))</f>
        <v>0.6</v>
      </c>
      <c r="H51" s="15" t="str">
        <f aca="false">IF($E51="✘","Ausente: no asistió al daily (sin reporte)",IFERROR(INDEX(Impedimentos!$E$5:$E$60,MATCH(B51&amp;"|"&amp;J51,Impedimentos!$F$5:$F$60,0)),"Sin impedimentos"))</f>
        <v>Sin impedimentos</v>
      </c>
      <c r="I51" s="15" t="str">
        <f aca="false">IF($E51="✘","—",IFERROR(INDEX(Impedimentos!$D$5:$D$60,MATCH(B51&amp;"|"&amp;J51,Impedimentos!$F$5:$F$60,0)),"—"))</f>
        <v>—</v>
      </c>
      <c r="J51" s="19" t="n">
        <f aca="false">INT((ROW()-6)/4)+1</f>
        <v>12</v>
      </c>
    </row>
    <row r="52" customFormat="false" ht="42" hidden="false" customHeight="true" outlineLevel="0" collapsed="false">
      <c r="A52" s="13" t="n">
        <f aca="false">INDEX(Config!$C$12:$C$31,J52)</f>
        <v>46290</v>
      </c>
      <c r="B52" s="14" t="str">
        <f aca="false">INDEX(Actividades!$A$5:$A$17,SUMPRODUCT((Actividades!$C$5:$C$17=D52)*(Actividades!$F$5:$F$17&lt;=J52)*(Actividades!$G$5:$G$17&gt;=J52)*(ROW(Actividades!$C$5:$C$17)-4)))</f>
        <v>SCR-12</v>
      </c>
      <c r="C52" s="15" t="str">
        <f aca="false">INDEX(Actividades!$B$5:$B$17,MATCH($B52,Actividades!$A$5:$A$17,0))</f>
        <v>Construir el diagrama de Pareto con las causas de los problemas del proyecto.</v>
      </c>
      <c r="D52" s="15" t="str">
        <f aca="false">INDEX(Config!$A$12:$A$15,MOD(ROW()-6,4)+1)</f>
        <v>ISSABHELLA ALARCON MORENO</v>
      </c>
      <c r="E52" s="16" t="s">
        <v>13</v>
      </c>
      <c r="F52" s="17" t="n">
        <f aca="false">INDEX(Actividades!$L$5:$L$17,MATCH($B52,Actividades!$A$5:$A$17,0))</f>
        <v>2</v>
      </c>
      <c r="G52" s="18" t="n">
        <f aca="false">IF($E52="✘",IF($J52=INDEX(Actividades!$F$5:$F$17,MATCH($B52,Actividades!$A$5:$A$17,0)),0,G48),IF($J52=INDEX(Actividades!$G$5:$G$17,MATCH($B52,Actividades!$A$5:$A$17,0)),1,IF(AND($I52&lt;&gt;"—",$J52&gt;INDEX(Actividades!$F$5:$F$17,MATCH($B52,Actividades!$A$5:$A$17,0))),MIN(G48,MIN(0.95,ROUND(($J52-INDEX(Actividades!$F$5:$F$17,MATCH($B52,Actividades!$A$5:$A$17,0))+1)/(INDEX(Actividades!$G$5:$G$17,MATCH($B52,Actividades!$A$5:$A$17,0))-INDEX(Actividades!$F$5:$F$17,MATCH($B52,Actividades!$A$5:$A$17,0))+1)*20,0)/20)),MIN(0.95,ROUND(($J52-INDEX(Actividades!$F$5:$F$17,MATCH($B52,Actividades!$A$5:$A$17,0))+1)/(INDEX(Actividades!$G$5:$G$17,MATCH($B52,Actividades!$A$5:$A$17,0))-INDEX(Actividades!$F$5:$F$17,MATCH($B52,Actividades!$A$5:$A$17,0))+1)*20,0)/20))))</f>
        <v>0.25</v>
      </c>
      <c r="H52" s="15" t="str">
        <f aca="false">IF($E52="✘","Ausente: no asistió al daily (sin reporte)",IFERROR(INDEX(Impedimentos!$E$5:$E$60,MATCH(B52&amp;"|"&amp;J52,Impedimentos!$F$5:$F$60,0)),"Sin impedimentos"))</f>
        <v>Ausente: no asistió al daily (sin reporte)</v>
      </c>
      <c r="I52" s="15" t="str">
        <f aca="false">IF($E52="✘","—",IFERROR(INDEX(Impedimentos!$D$5:$D$60,MATCH(B52&amp;"|"&amp;J52,Impedimentos!$F$5:$F$60,0)),"—"))</f>
        <v>—</v>
      </c>
      <c r="J52" s="19" t="n">
        <f aca="false">INT((ROW()-6)/4)+1</f>
        <v>12</v>
      </c>
    </row>
    <row r="53" customFormat="false" ht="42" hidden="false" customHeight="true" outlineLevel="0" collapsed="false">
      <c r="A53" s="13" t="n">
        <f aca="false">INDEX(Config!$C$12:$C$31,J53)</f>
        <v>46290</v>
      </c>
      <c r="B53" s="14" t="str">
        <f aca="false">INDEX(Actividades!$A$5:$A$17,SUMPRODUCT((Actividades!$C$5:$C$17=D53)*(Actividades!$F$5:$F$17&lt;=J53)*(Actividades!$G$5:$G$17&gt;=J53)*(ROW(Actividades!$C$5:$C$17)-4)))</f>
        <v>SCR-15</v>
      </c>
      <c r="C53" s="15" t="str">
        <f aca="false">INDEX(Actividades!$B$5:$B$17,MATCH($B53,Actividades!$A$5:$A$17,0))</f>
        <v>Actualizar el análisis PESTEL a su versión 2 (Parches) con las correcciones.</v>
      </c>
      <c r="D53" s="15" t="str">
        <f aca="false">INDEX(Config!$A$12:$A$15,MOD(ROW()-6,4)+1)</f>
        <v>VALENTINA ISABEL OSORIO MORAN</v>
      </c>
      <c r="E53" s="16" t="s">
        <v>12</v>
      </c>
      <c r="F53" s="17" t="n">
        <f aca="false">INDEX(Actividades!$L$5:$L$17,MATCH($B53,Actividades!$A$5:$A$17,0))</f>
        <v>3</v>
      </c>
      <c r="G53" s="18" t="n">
        <f aca="false">IF($E53="✘",IF($J53=INDEX(Actividades!$F$5:$F$17,MATCH($B53,Actividades!$A$5:$A$17,0)),0,G49),IF($J53=INDEX(Actividades!$G$5:$G$17,MATCH($B53,Actividades!$A$5:$A$17,0)),1,IF(AND($I53&lt;&gt;"—",$J53&gt;INDEX(Actividades!$F$5:$F$17,MATCH($B53,Actividades!$A$5:$A$17,0))),MIN(G49,MIN(0.95,ROUND(($J53-INDEX(Actividades!$F$5:$F$17,MATCH($B53,Actividades!$A$5:$A$17,0))+1)/(INDEX(Actividades!$G$5:$G$17,MATCH($B53,Actividades!$A$5:$A$17,0))-INDEX(Actividades!$F$5:$F$17,MATCH($B53,Actividades!$A$5:$A$17,0))+1)*20,0)/20)),MIN(0.95,ROUND(($J53-INDEX(Actividades!$F$5:$F$17,MATCH($B53,Actividades!$A$5:$A$17,0))+1)/(INDEX(Actividades!$G$5:$G$17,MATCH($B53,Actividades!$A$5:$A$17,0))-INDEX(Actividades!$F$5:$F$17,MATCH($B53,Actividades!$A$5:$A$17,0))+1)*20,0)/20))))</f>
        <v>1</v>
      </c>
      <c r="H53" s="15" t="str">
        <f aca="false">IF($E53="✘","Ausente: no asistió al daily (sin reporte)",IFERROR(INDEX(Impedimentos!$E$5:$E$60,MATCH(B53&amp;"|"&amp;J53,Impedimentos!$F$5:$F$60,0)),"Sin impedimentos"))</f>
        <v>Sin impedimentos</v>
      </c>
      <c r="I53" s="15" t="str">
        <f aca="false">IF($E53="✘","—",IFERROR(INDEX(Impedimentos!$D$5:$D$60,MATCH(B53&amp;"|"&amp;J53,Impedimentos!$F$5:$F$60,0)),"—"))</f>
        <v>—</v>
      </c>
      <c r="J53" s="19" t="n">
        <f aca="false">INT((ROW()-6)/4)+1</f>
        <v>12</v>
      </c>
    </row>
    <row r="54" customFormat="false" ht="42" hidden="false" customHeight="true" outlineLevel="0" collapsed="false">
      <c r="A54" s="6" t="n">
        <f aca="false">INDEX(Config!$C$12:$C$31,J54)</f>
        <v>46293</v>
      </c>
      <c r="B54" s="7" t="str">
        <f aca="false">INDEX(Actividades!$A$5:$A$17,SUMPRODUCT((Actividades!$C$5:$C$17=D54)*(Actividades!$F$5:$F$17&lt;=J54)*(Actividades!$G$5:$G$17&gt;=J54)*(ROW(Actividades!$C$5:$C$17)-4)))</f>
        <v>SCR-6</v>
      </c>
      <c r="C54" s="8" t="str">
        <f aca="false">INDEX(Actividades!$B$5:$B$17,MATCH($B54,Actividades!$A$5:$A$17,0))</f>
        <v>Configurar la arquitectura MVC del backend (modelos, controladores, rutas y carpetas).</v>
      </c>
      <c r="D54" s="8" t="str">
        <f aca="false">INDEX(Config!$A$12:$A$15,MOD(ROW()-6,4)+1)</f>
        <v>EMMANUEL OBANDO SANCHEZ</v>
      </c>
      <c r="E54" s="9" t="s">
        <v>12</v>
      </c>
      <c r="F54" s="10" t="n">
        <f aca="false">INDEX(Actividades!$L$5:$L$17,MATCH($B54,Actividades!$A$5:$A$17,0))</f>
        <v>1</v>
      </c>
      <c r="G54" s="11" t="n">
        <f aca="false">IF($E54="✘",IF($J54=INDEX(Actividades!$F$5:$F$17,MATCH($B54,Actividades!$A$5:$A$17,0)),0,G50),IF($J54=INDEX(Actividades!$G$5:$G$17,MATCH($B54,Actividades!$A$5:$A$17,0)),1,IF(AND($I54&lt;&gt;"—",$J54&gt;INDEX(Actividades!$F$5:$F$17,MATCH($B54,Actividades!$A$5:$A$17,0))),MIN(G50,MIN(0.95,ROUND(($J54-INDEX(Actividades!$F$5:$F$17,MATCH($B54,Actividades!$A$5:$A$17,0))+1)/(INDEX(Actividades!$G$5:$G$17,MATCH($B54,Actividades!$A$5:$A$17,0))-INDEX(Actividades!$F$5:$F$17,MATCH($B54,Actividades!$A$5:$A$17,0))+1)*20,0)/20)),MIN(0.95,ROUND(($J54-INDEX(Actividades!$F$5:$F$17,MATCH($B54,Actividades!$A$5:$A$17,0))+1)/(INDEX(Actividades!$G$5:$G$17,MATCH($B54,Actividades!$A$5:$A$17,0))-INDEX(Actividades!$F$5:$F$17,MATCH($B54,Actividades!$A$5:$A$17,0))+1)*20,0)/20))))</f>
        <v>0.8</v>
      </c>
      <c r="H54" s="8" t="str">
        <f aca="false">IF($E54="✘","Ausente: no asistió al daily (sin reporte)",IFERROR(INDEX(Impedimentos!$E$5:$E$60,MATCH(B54&amp;"|"&amp;J54,Impedimentos!$F$5:$F$60,0)),"Sin impedimentos"))</f>
        <v>Sin impedimentos</v>
      </c>
      <c r="I54" s="8" t="str">
        <f aca="false">IF($E54="✘","—",IFERROR(INDEX(Impedimentos!$D$5:$D$60,MATCH(B54&amp;"|"&amp;J54,Impedimentos!$F$5:$F$60,0)),"—"))</f>
        <v>—</v>
      </c>
      <c r="J54" s="12" t="n">
        <f aca="false">INT((ROW()-6)/4)+1</f>
        <v>13</v>
      </c>
    </row>
    <row r="55" customFormat="false" ht="42" hidden="false" customHeight="true" outlineLevel="0" collapsed="false">
      <c r="A55" s="6" t="n">
        <f aca="false">INDEX(Config!$C$12:$C$31,J55)</f>
        <v>46293</v>
      </c>
      <c r="B55" s="7" t="str">
        <f aca="false">INDEX(Actividades!$A$5:$A$17,SUMPRODUCT((Actividades!$C$5:$C$17=D55)*(Actividades!$F$5:$F$17&lt;=J55)*(Actividades!$G$5:$G$17&gt;=J55)*(ROW(Actividades!$C$5:$C$17)-4)))</f>
        <v>SCR-9</v>
      </c>
      <c r="C55" s="8" t="str">
        <f aca="false">INDEX(Actividades!$B$5:$B$17,MATCH($B55,Actividades!$A$5:$A$17,0))</f>
        <v>Crear en PostgreSQL las tablas eventos y reservas con sus relaciones.</v>
      </c>
      <c r="D55" s="8" t="str">
        <f aca="false">INDEX(Config!$A$12:$A$15,MOD(ROW()-6,4)+1)</f>
        <v>JUAN SEBASTIAN JARAMILLO ORTIZ</v>
      </c>
      <c r="E55" s="9" t="s">
        <v>12</v>
      </c>
      <c r="F55" s="10" t="n">
        <f aca="false">INDEX(Actividades!$L$5:$L$17,MATCH($B55,Actividades!$A$5:$A$17,0))</f>
        <v>1</v>
      </c>
      <c r="G55" s="11" t="n">
        <f aca="false">IF($E55="✘",IF($J55=INDEX(Actividades!$F$5:$F$17,MATCH($B55,Actividades!$A$5:$A$17,0)),0,G51),IF($J55=INDEX(Actividades!$G$5:$G$17,MATCH($B55,Actividades!$A$5:$A$17,0)),1,IF(AND($I55&lt;&gt;"—",$J55&gt;INDEX(Actividades!$F$5:$F$17,MATCH($B55,Actividades!$A$5:$A$17,0))),MIN(G51,MIN(0.95,ROUND(($J55-INDEX(Actividades!$F$5:$F$17,MATCH($B55,Actividades!$A$5:$A$17,0))+1)/(INDEX(Actividades!$G$5:$G$17,MATCH($B55,Actividades!$A$5:$A$17,0))-INDEX(Actividades!$F$5:$F$17,MATCH($B55,Actividades!$A$5:$A$17,0))+1)*20,0)/20)),MIN(0.95,ROUND(($J55-INDEX(Actividades!$F$5:$F$17,MATCH($B55,Actividades!$A$5:$A$17,0))+1)/(INDEX(Actividades!$G$5:$G$17,MATCH($B55,Actividades!$A$5:$A$17,0))-INDEX(Actividades!$F$5:$F$17,MATCH($B55,Actividades!$A$5:$A$17,0))+1)*20,0)/20))))</f>
        <v>0.8</v>
      </c>
      <c r="H55" s="8" t="str">
        <f aca="false">IF($E55="✘","Ausente: no asistió al daily (sin reporte)",IFERROR(INDEX(Impedimentos!$E$5:$E$60,MATCH(B55&amp;"|"&amp;J55,Impedimentos!$F$5:$F$60,0)),"Sin impedimentos"))</f>
        <v>Sin impedimentos</v>
      </c>
      <c r="I55" s="8" t="str">
        <f aca="false">IF($E55="✘","—",IFERROR(INDEX(Impedimentos!$D$5:$D$60,MATCH(B55&amp;"|"&amp;J55,Impedimentos!$F$5:$F$60,0)),"—"))</f>
        <v>—</v>
      </c>
      <c r="J55" s="12" t="n">
        <f aca="false">INT((ROW()-6)/4)+1</f>
        <v>13</v>
      </c>
    </row>
    <row r="56" customFormat="false" ht="42" hidden="false" customHeight="true" outlineLevel="0" collapsed="false">
      <c r="A56" s="6" t="n">
        <f aca="false">INDEX(Config!$C$12:$C$31,J56)</f>
        <v>46293</v>
      </c>
      <c r="B56" s="7" t="str">
        <f aca="false">INDEX(Actividades!$A$5:$A$17,SUMPRODUCT((Actividades!$C$5:$C$17=D56)*(Actividades!$F$5:$F$17&lt;=J56)*(Actividades!$G$5:$G$17&gt;=J56)*(ROW(Actividades!$C$5:$C$17)-4)))</f>
        <v>SCR-12</v>
      </c>
      <c r="C56" s="8" t="str">
        <f aca="false">INDEX(Actividades!$B$5:$B$17,MATCH($B56,Actividades!$A$5:$A$17,0))</f>
        <v>Construir el diagrama de Pareto con las causas de los problemas del proyecto.</v>
      </c>
      <c r="D56" s="8" t="str">
        <f aca="false">INDEX(Config!$A$12:$A$15,MOD(ROW()-6,4)+1)</f>
        <v>ISSABHELLA ALARCON MORENO</v>
      </c>
      <c r="E56" s="9" t="s">
        <v>12</v>
      </c>
      <c r="F56" s="10" t="n">
        <f aca="false">INDEX(Actividades!$L$5:$L$17,MATCH($B56,Actividades!$A$5:$A$17,0))</f>
        <v>2</v>
      </c>
      <c r="G56" s="11" t="n">
        <f aca="false">IF($E56="✘",IF($J56=INDEX(Actividades!$F$5:$F$17,MATCH($B56,Actividades!$A$5:$A$17,0)),0,G52),IF($J56=INDEX(Actividades!$G$5:$G$17,MATCH($B56,Actividades!$A$5:$A$17,0)),1,IF(AND($I56&lt;&gt;"—",$J56&gt;INDEX(Actividades!$F$5:$F$17,MATCH($B56,Actividades!$A$5:$A$17,0))),MIN(G52,MIN(0.95,ROUND(($J56-INDEX(Actividades!$F$5:$F$17,MATCH($B56,Actividades!$A$5:$A$17,0))+1)/(INDEX(Actividades!$G$5:$G$17,MATCH($B56,Actividades!$A$5:$A$17,0))-INDEX(Actividades!$F$5:$F$17,MATCH($B56,Actividades!$A$5:$A$17,0))+1)*20,0)/20)),MIN(0.95,ROUND(($J56-INDEX(Actividades!$F$5:$F$17,MATCH($B56,Actividades!$A$5:$A$17,0))+1)/(INDEX(Actividades!$G$5:$G$17,MATCH($B56,Actividades!$A$5:$A$17,0))-INDEX(Actividades!$F$5:$F$17,MATCH($B56,Actividades!$A$5:$A$17,0))+1)*20,0)/20))))</f>
        <v>0.75</v>
      </c>
      <c r="H56" s="8" t="str">
        <f aca="false">IF($E56="✘","Ausente: no asistió al daily (sin reporte)",IFERROR(INDEX(Impedimentos!$E$5:$E$60,MATCH(B56&amp;"|"&amp;J56,Impedimentos!$F$5:$F$60,0)),"Sin impedimentos"))</f>
        <v>Sin impedimentos</v>
      </c>
      <c r="I56" s="8" t="str">
        <f aca="false">IF($E56="✘","—",IFERROR(INDEX(Impedimentos!$D$5:$D$60,MATCH(B56&amp;"|"&amp;J56,Impedimentos!$F$5:$F$60,0)),"—"))</f>
        <v>—</v>
      </c>
      <c r="J56" s="12" t="n">
        <f aca="false">INT((ROW()-6)/4)+1</f>
        <v>13</v>
      </c>
    </row>
    <row r="57" customFormat="false" ht="42" hidden="false" customHeight="true" outlineLevel="0" collapsed="false">
      <c r="A57" s="6" t="n">
        <f aca="false">INDEX(Config!$C$12:$C$31,J57)</f>
        <v>46293</v>
      </c>
      <c r="B57" s="7" t="str">
        <f aca="false">INDEX(Actividades!$A$5:$A$17,SUMPRODUCT((Actividades!$C$5:$C$17=D57)*(Actividades!$F$5:$F$17&lt;=J57)*(Actividades!$G$5:$G$17&gt;=J57)*(ROW(Actividades!$C$5:$C$17)-4)))</f>
        <v>SCR-91</v>
      </c>
      <c r="C57" s="8" t="str">
        <f aca="false">INDEX(Actividades!$B$5:$B$17,MATCH($B57,Actividades!$A$5:$A$17,0))</f>
        <v>Elaborar la matriz Vester general de ElDesparche.</v>
      </c>
      <c r="D57" s="8" t="str">
        <f aca="false">INDEX(Config!$A$12:$A$15,MOD(ROW()-6,4)+1)</f>
        <v>VALENTINA ISABEL OSORIO MORAN</v>
      </c>
      <c r="E57" s="9" t="s">
        <v>12</v>
      </c>
      <c r="F57" s="10" t="n">
        <f aca="false">INDEX(Actividades!$L$5:$L$17,MATCH($B57,Actividades!$A$5:$A$17,0))</f>
        <v>3</v>
      </c>
      <c r="G57" s="11" t="n">
        <f aca="false">IF($E57="✘",IF($J57=INDEX(Actividades!$F$5:$F$17,MATCH($B57,Actividades!$A$5:$A$17,0)),0,G53),IF($J57=INDEX(Actividades!$G$5:$G$17,MATCH($B57,Actividades!$A$5:$A$17,0)),1,IF(AND($I57&lt;&gt;"—",$J57&gt;INDEX(Actividades!$F$5:$F$17,MATCH($B57,Actividades!$A$5:$A$17,0))),MIN(G53,MIN(0.95,ROUND(($J57-INDEX(Actividades!$F$5:$F$17,MATCH($B57,Actividades!$A$5:$A$17,0))+1)/(INDEX(Actividades!$G$5:$G$17,MATCH($B57,Actividades!$A$5:$A$17,0))-INDEX(Actividades!$F$5:$F$17,MATCH($B57,Actividades!$A$5:$A$17,0))+1)*20,0)/20)),MIN(0.95,ROUND(($J57-INDEX(Actividades!$F$5:$F$17,MATCH($B57,Actividades!$A$5:$A$17,0))+1)/(INDEX(Actividades!$G$5:$G$17,MATCH($B57,Actividades!$A$5:$A$17,0))-INDEX(Actividades!$F$5:$F$17,MATCH($B57,Actividades!$A$5:$A$17,0))+1)*20,0)/20))))</f>
        <v>0.5</v>
      </c>
      <c r="H57" s="8" t="str">
        <f aca="false">IF($E57="✘","Ausente: no asistió al daily (sin reporte)",IFERROR(INDEX(Impedimentos!$E$5:$E$60,MATCH(B57&amp;"|"&amp;J57,Impedimentos!$F$5:$F$60,0)),"Sin impedimentos"))</f>
        <v>Sin criterio acordado para votar y ponderar las causas de la matriz Vester.</v>
      </c>
      <c r="I57" s="8" t="str">
        <f aca="false">IF($E57="✘","—",IFERROR(INDEX(Impedimentos!$D$5:$D$60,MATCH(B57&amp;"|"&amp;J57,Impedimentos!$F$5:$F$60,0)),"—"))</f>
        <v>Toma de decisiones</v>
      </c>
      <c r="J57" s="12" t="n">
        <f aca="false">INT((ROW()-6)/4)+1</f>
        <v>13</v>
      </c>
    </row>
    <row r="58" customFormat="false" ht="42" hidden="false" customHeight="true" outlineLevel="0" collapsed="false">
      <c r="A58" s="13" t="n">
        <f aca="false">INDEX(Config!$C$12:$C$31,J58)</f>
        <v>46294</v>
      </c>
      <c r="B58" s="14" t="str">
        <f aca="false">INDEX(Actividades!$A$5:$A$17,SUMPRODUCT((Actividades!$C$5:$C$17=D58)*(Actividades!$F$5:$F$17&lt;=J58)*(Actividades!$G$5:$G$17&gt;=J58)*(ROW(Actividades!$C$5:$C$17)-4)))</f>
        <v>SCR-6</v>
      </c>
      <c r="C58" s="15" t="str">
        <f aca="false">INDEX(Actividades!$B$5:$B$17,MATCH($B58,Actividades!$A$5:$A$17,0))</f>
        <v>Configurar la arquitectura MVC del backend (modelos, controladores, rutas y carpetas).</v>
      </c>
      <c r="D58" s="15" t="str">
        <f aca="false">INDEX(Config!$A$12:$A$15,MOD(ROW()-6,4)+1)</f>
        <v>EMMANUEL OBANDO SANCHEZ</v>
      </c>
      <c r="E58" s="16" t="s">
        <v>12</v>
      </c>
      <c r="F58" s="17" t="n">
        <f aca="false">INDEX(Actividades!$L$5:$L$17,MATCH($B58,Actividades!$A$5:$A$17,0))</f>
        <v>1</v>
      </c>
      <c r="G58" s="18" t="n">
        <f aca="false">IF($E58="✘",IF($J58=INDEX(Actividades!$F$5:$F$17,MATCH($B58,Actividades!$A$5:$A$17,0)),0,G54),IF($J58=INDEX(Actividades!$G$5:$G$17,MATCH($B58,Actividades!$A$5:$A$17,0)),1,IF(AND($I58&lt;&gt;"—",$J58&gt;INDEX(Actividades!$F$5:$F$17,MATCH($B58,Actividades!$A$5:$A$17,0))),MIN(G54,MIN(0.95,ROUND(($J58-INDEX(Actividades!$F$5:$F$17,MATCH($B58,Actividades!$A$5:$A$17,0))+1)/(INDEX(Actividades!$G$5:$G$17,MATCH($B58,Actividades!$A$5:$A$17,0))-INDEX(Actividades!$F$5:$F$17,MATCH($B58,Actividades!$A$5:$A$17,0))+1)*20,0)/20)),MIN(0.95,ROUND(($J58-INDEX(Actividades!$F$5:$F$17,MATCH($B58,Actividades!$A$5:$A$17,0))+1)/(INDEX(Actividades!$G$5:$G$17,MATCH($B58,Actividades!$A$5:$A$17,0))-INDEX(Actividades!$F$5:$F$17,MATCH($B58,Actividades!$A$5:$A$17,0))+1)*20,0)/20))))</f>
        <v>1</v>
      </c>
      <c r="H58" s="15" t="str">
        <f aca="false">IF($E58="✘","Ausente: no asistió al daily (sin reporte)",IFERROR(INDEX(Impedimentos!$E$5:$E$60,MATCH(B58&amp;"|"&amp;J58,Impedimentos!$F$5:$F$60,0)),"Sin impedimentos"))</f>
        <v>Sin impedimentos</v>
      </c>
      <c r="I58" s="15" t="str">
        <f aca="false">IF($E58="✘","—",IFERROR(INDEX(Impedimentos!$D$5:$D$60,MATCH(B58&amp;"|"&amp;J58,Impedimentos!$F$5:$F$60,0)),"—"))</f>
        <v>—</v>
      </c>
      <c r="J58" s="19" t="n">
        <f aca="false">INT((ROW()-6)/4)+1</f>
        <v>14</v>
      </c>
    </row>
    <row r="59" customFormat="false" ht="42" hidden="false" customHeight="true" outlineLevel="0" collapsed="false">
      <c r="A59" s="13" t="n">
        <f aca="false">INDEX(Config!$C$12:$C$31,J59)</f>
        <v>46294</v>
      </c>
      <c r="B59" s="14" t="str">
        <f aca="false">INDEX(Actividades!$A$5:$A$17,SUMPRODUCT((Actividades!$C$5:$C$17=D59)*(Actividades!$F$5:$F$17&lt;=J59)*(Actividades!$G$5:$G$17&gt;=J59)*(ROW(Actividades!$C$5:$C$17)-4)))</f>
        <v>SCR-9</v>
      </c>
      <c r="C59" s="15" t="str">
        <f aca="false">INDEX(Actividades!$B$5:$B$17,MATCH($B59,Actividades!$A$5:$A$17,0))</f>
        <v>Crear en PostgreSQL las tablas eventos y reservas con sus relaciones.</v>
      </c>
      <c r="D59" s="15" t="str">
        <f aca="false">INDEX(Config!$A$12:$A$15,MOD(ROW()-6,4)+1)</f>
        <v>JUAN SEBASTIAN JARAMILLO ORTIZ</v>
      </c>
      <c r="E59" s="16" t="s">
        <v>12</v>
      </c>
      <c r="F59" s="17" t="n">
        <f aca="false">INDEX(Actividades!$L$5:$L$17,MATCH($B59,Actividades!$A$5:$A$17,0))</f>
        <v>1</v>
      </c>
      <c r="G59" s="18" t="n">
        <f aca="false">IF($E59="✘",IF($J59=INDEX(Actividades!$F$5:$F$17,MATCH($B59,Actividades!$A$5:$A$17,0)),0,G55),IF($J59=INDEX(Actividades!$G$5:$G$17,MATCH($B59,Actividades!$A$5:$A$17,0)),1,IF(AND($I59&lt;&gt;"—",$J59&gt;INDEX(Actividades!$F$5:$F$17,MATCH($B59,Actividades!$A$5:$A$17,0))),MIN(G55,MIN(0.95,ROUND(($J59-INDEX(Actividades!$F$5:$F$17,MATCH($B59,Actividades!$A$5:$A$17,0))+1)/(INDEX(Actividades!$G$5:$G$17,MATCH($B59,Actividades!$A$5:$A$17,0))-INDEX(Actividades!$F$5:$F$17,MATCH($B59,Actividades!$A$5:$A$17,0))+1)*20,0)/20)),MIN(0.95,ROUND(($J59-INDEX(Actividades!$F$5:$F$17,MATCH($B59,Actividades!$A$5:$A$17,0))+1)/(INDEX(Actividades!$G$5:$G$17,MATCH($B59,Actividades!$A$5:$A$17,0))-INDEX(Actividades!$F$5:$F$17,MATCH($B59,Actividades!$A$5:$A$17,0))+1)*20,0)/20))))</f>
        <v>1</v>
      </c>
      <c r="H59" s="15" t="str">
        <f aca="false">IF($E59="✘","Ausente: no asistió al daily (sin reporte)",IFERROR(INDEX(Impedimentos!$E$5:$E$60,MATCH(B59&amp;"|"&amp;J59,Impedimentos!$F$5:$F$60,0)),"Sin impedimentos"))</f>
        <v>Sin impedimentos</v>
      </c>
      <c r="I59" s="15" t="str">
        <f aca="false">IF($E59="✘","—",IFERROR(INDEX(Impedimentos!$D$5:$D$60,MATCH(B59&amp;"|"&amp;J59,Impedimentos!$F$5:$F$60,0)),"—"))</f>
        <v>—</v>
      </c>
      <c r="J59" s="19" t="n">
        <f aca="false">INT((ROW()-6)/4)+1</f>
        <v>14</v>
      </c>
    </row>
    <row r="60" customFormat="false" ht="42" hidden="false" customHeight="true" outlineLevel="0" collapsed="false">
      <c r="A60" s="13" t="n">
        <f aca="false">INDEX(Config!$C$12:$C$31,J60)</f>
        <v>46294</v>
      </c>
      <c r="B60" s="14" t="str">
        <f aca="false">INDEX(Actividades!$A$5:$A$17,SUMPRODUCT((Actividades!$C$5:$C$17=D60)*(Actividades!$F$5:$F$17&lt;=J60)*(Actividades!$G$5:$G$17&gt;=J60)*(ROW(Actividades!$C$5:$C$17)-4)))</f>
        <v>SCR-12</v>
      </c>
      <c r="C60" s="15" t="str">
        <f aca="false">INDEX(Actividades!$B$5:$B$17,MATCH($B60,Actividades!$A$5:$A$17,0))</f>
        <v>Construir el diagrama de Pareto con las causas de los problemas del proyecto.</v>
      </c>
      <c r="D60" s="15" t="str">
        <f aca="false">INDEX(Config!$A$12:$A$15,MOD(ROW()-6,4)+1)</f>
        <v>ISSABHELLA ALARCON MORENO</v>
      </c>
      <c r="E60" s="16" t="s">
        <v>12</v>
      </c>
      <c r="F60" s="17" t="n">
        <f aca="false">INDEX(Actividades!$L$5:$L$17,MATCH($B60,Actividades!$A$5:$A$17,0))</f>
        <v>2</v>
      </c>
      <c r="G60" s="18" t="n">
        <f aca="false">IF($E60="✘",IF($J60=INDEX(Actividades!$F$5:$F$17,MATCH($B60,Actividades!$A$5:$A$17,0)),0,G56),IF($J60=INDEX(Actividades!$G$5:$G$17,MATCH($B60,Actividades!$A$5:$A$17,0)),1,IF(AND($I60&lt;&gt;"—",$J60&gt;INDEX(Actividades!$F$5:$F$17,MATCH($B60,Actividades!$A$5:$A$17,0))),MIN(G56,MIN(0.95,ROUND(($J60-INDEX(Actividades!$F$5:$F$17,MATCH($B60,Actividades!$A$5:$A$17,0))+1)/(INDEX(Actividades!$G$5:$G$17,MATCH($B60,Actividades!$A$5:$A$17,0))-INDEX(Actividades!$F$5:$F$17,MATCH($B60,Actividades!$A$5:$A$17,0))+1)*20,0)/20)),MIN(0.95,ROUND(($J60-INDEX(Actividades!$F$5:$F$17,MATCH($B60,Actividades!$A$5:$A$17,0))+1)/(INDEX(Actividades!$G$5:$G$17,MATCH($B60,Actividades!$A$5:$A$17,0))-INDEX(Actividades!$F$5:$F$17,MATCH($B60,Actividades!$A$5:$A$17,0))+1)*20,0)/20))))</f>
        <v>1</v>
      </c>
      <c r="H60" s="15" t="str">
        <f aca="false">IF($E60="✘","Ausente: no asistió al daily (sin reporte)",IFERROR(INDEX(Impedimentos!$E$5:$E$60,MATCH(B60&amp;"|"&amp;J60,Impedimentos!$F$5:$F$60,0)),"Sin impedimentos"))</f>
        <v>Sin impedimentos</v>
      </c>
      <c r="I60" s="15" t="str">
        <f aca="false">IF($E60="✘","—",IFERROR(INDEX(Impedimentos!$D$5:$D$60,MATCH(B60&amp;"|"&amp;J60,Impedimentos!$F$5:$F$60,0)),"—"))</f>
        <v>—</v>
      </c>
      <c r="J60" s="19" t="n">
        <f aca="false">INT((ROW()-6)/4)+1</f>
        <v>14</v>
      </c>
    </row>
    <row r="61" customFormat="false" ht="42" hidden="false" customHeight="true" outlineLevel="0" collapsed="false">
      <c r="A61" s="13" t="n">
        <f aca="false">INDEX(Config!$C$12:$C$31,J61)</f>
        <v>46294</v>
      </c>
      <c r="B61" s="14" t="str">
        <f aca="false">INDEX(Actividades!$A$5:$A$17,SUMPRODUCT((Actividades!$C$5:$C$17=D61)*(Actividades!$F$5:$F$17&lt;=J61)*(Actividades!$G$5:$G$17&gt;=J61)*(ROW(Actividades!$C$5:$C$17)-4)))</f>
        <v>SCR-91</v>
      </c>
      <c r="C61" s="15" t="str">
        <f aca="false">INDEX(Actividades!$B$5:$B$17,MATCH($B61,Actividades!$A$5:$A$17,0))</f>
        <v>Elaborar la matriz Vester general de ElDesparche.</v>
      </c>
      <c r="D61" s="15" t="str">
        <f aca="false">INDEX(Config!$A$12:$A$15,MOD(ROW()-6,4)+1)</f>
        <v>VALENTINA ISABEL OSORIO MORAN</v>
      </c>
      <c r="E61" s="16" t="s">
        <v>12</v>
      </c>
      <c r="F61" s="17" t="n">
        <f aca="false">INDEX(Actividades!$L$5:$L$17,MATCH($B61,Actividades!$A$5:$A$17,0))</f>
        <v>3</v>
      </c>
      <c r="G61" s="18" t="n">
        <f aca="false">IF($E61="✘",IF($J61=INDEX(Actividades!$F$5:$F$17,MATCH($B61,Actividades!$A$5:$A$17,0)),0,G57),IF($J61=INDEX(Actividades!$G$5:$G$17,MATCH($B61,Actividades!$A$5:$A$17,0)),1,IF(AND($I61&lt;&gt;"—",$J61&gt;INDEX(Actividades!$F$5:$F$17,MATCH($B61,Actividades!$A$5:$A$17,0))),MIN(G57,MIN(0.95,ROUND(($J61-INDEX(Actividades!$F$5:$F$17,MATCH($B61,Actividades!$A$5:$A$17,0))+1)/(INDEX(Actividades!$G$5:$G$17,MATCH($B61,Actividades!$A$5:$A$17,0))-INDEX(Actividades!$F$5:$F$17,MATCH($B61,Actividades!$A$5:$A$17,0))+1)*20,0)/20)),MIN(0.95,ROUND(($J61-INDEX(Actividades!$F$5:$F$17,MATCH($B61,Actividades!$A$5:$A$17,0))+1)/(INDEX(Actividades!$G$5:$G$17,MATCH($B61,Actividades!$A$5:$A$17,0))-INDEX(Actividades!$F$5:$F$17,MATCH($B61,Actividades!$A$5:$A$17,0))+1)*20,0)/20))))</f>
        <v>1</v>
      </c>
      <c r="H61" s="15" t="str">
        <f aca="false">IF($E61="✘","Ausente: no asistió al daily (sin reporte)",IFERROR(INDEX(Impedimentos!$E$5:$E$60,MATCH(B61&amp;"|"&amp;J61,Impedimentos!$F$5:$F$60,0)),"Sin impedimentos"))</f>
        <v>Sin impedimentos</v>
      </c>
      <c r="I61" s="15" t="str">
        <f aca="false">IF($E61="✘","—",IFERROR(INDEX(Impedimentos!$D$5:$D$60,MATCH(B61&amp;"|"&amp;J61,Impedimentos!$F$5:$F$60,0)),"—"))</f>
        <v>—</v>
      </c>
      <c r="J61" s="19" t="n">
        <f aca="false">INT((ROW()-6)/4)+1</f>
        <v>14</v>
      </c>
    </row>
  </sheetData>
  <autoFilter ref="A5:J61"/>
  <conditionalFormatting sqref="G6:G61">
    <cfRule type="dataBar" priority="2">
      <dataBar showValue="1" minLength="10" maxLength="90">
        <cfvo type="num" val="0"/>
        <cfvo type="num" val="1"/>
        <color rgb="FF63BE7B"/>
      </dataBar>
      <extLst>
        <ext xmlns:x14="http://schemas.microsoft.com/office/spreadsheetml/2009/9/main" uri="{B025F937-C7B1-47D3-B67F-A62EFF666E3E}">
          <x14:id>{A0C5E071-A3AD-4140-B03F-00FEBDB22B27}</x14:id>
        </ext>
      </extLst>
    </cfRule>
  </conditionalFormatting>
  <conditionalFormatting sqref="E6:E61">
    <cfRule type="cellIs" priority="3" operator="equal" aboveAverage="0" equalAverage="0" bottom="0" percent="0" rank="0" text="" dxfId="9">
      <formula>"✔"</formula>
    </cfRule>
    <cfRule type="cellIs" priority="4" operator="equal" aboveAverage="0" equalAverage="0" bottom="0" percent="0" rank="0" text="" dxfId="10">
      <formula>"✘"</formula>
    </cfRule>
  </conditionalFormatting>
  <dataValidations count="1">
    <dataValidation allowBlank="false" error="Elige ✔ (asistió) o ✘ (no asistió)." errorStyle="stop" errorTitle="Asistencia" operator="between" showDropDown="false" showErrorMessage="true" showInputMessage="false" sqref="E6:E61" type="list">
      <formula1>"✔,✘"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0C5E071-A3AD-4140-B03F-00FEBDB22B27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63BE7B"/>
              <x14:axisColor rgb="FF000000"/>
            </x14:dataBar>
          </x14:cfRule>
          <xm:sqref>G6:G61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40"/>
    <col collapsed="false" customWidth="true" hidden="false" outlineLevel="0" max="2" min="2" style="1" width="13"/>
    <col collapsed="false" customWidth="true" hidden="false" outlineLevel="0" max="3" min="3" style="1" width="11"/>
    <col collapsed="false" customWidth="true" hidden="false" outlineLevel="0" max="4" min="4" style="1" width="16"/>
    <col collapsed="false" customWidth="true" hidden="false" outlineLevel="0" max="5" min="5" style="1" width="20"/>
    <col collapsed="false" customWidth="true" hidden="false" outlineLevel="0" max="6" min="6" style="1" width="22"/>
    <col collapsed="false" customWidth="true" hidden="false" outlineLevel="0" max="7" min="7" style="1" width="19"/>
    <col collapsed="false" customWidth="true" hidden="false" outlineLevel="0" max="8" min="8" style="1" width="14"/>
  </cols>
  <sheetData>
    <row r="1" customFormat="false" ht="17.35" hidden="false" customHeight="false" outlineLevel="0" collapsed="false">
      <c r="A1" s="2" t="s">
        <v>14</v>
      </c>
    </row>
    <row r="2" customFormat="false" ht="15" hidden="false" customHeight="false" outlineLevel="0" collapsed="false">
      <c r="A2" s="3" t="s">
        <v>15</v>
      </c>
    </row>
    <row r="4" customFormat="false" ht="30" hidden="false" customHeight="true" outlineLevel="0" collapsed="false">
      <c r="A4" s="5" t="s">
        <v>16</v>
      </c>
      <c r="B4" s="5" t="s">
        <v>17</v>
      </c>
      <c r="C4" s="5" t="s">
        <v>18</v>
      </c>
      <c r="D4" s="5" t="s">
        <v>19</v>
      </c>
      <c r="E4" s="5" t="s">
        <v>20</v>
      </c>
      <c r="F4" s="5" t="s">
        <v>21</v>
      </c>
      <c r="G4" s="5" t="s">
        <v>22</v>
      </c>
      <c r="H4" s="5" t="s">
        <v>23</v>
      </c>
    </row>
    <row r="5" customFormat="false" ht="15" hidden="false" customHeight="false" outlineLevel="0" collapsed="false">
      <c r="A5" s="20" t="str">
        <f aca="false">Config!A12</f>
        <v>EMMANUEL OBANDO SANCHEZ</v>
      </c>
      <c r="B5" s="7" t="n">
        <f aca="false">COUNTIF(Actividades!$C$5:$C$17,A5)</f>
        <v>3</v>
      </c>
      <c r="C5" s="7" t="n">
        <f aca="false">SUMIFS(Actividades!$D$5:$D$17,Actividades!$C$5:$C$17,A5)</f>
        <v>9</v>
      </c>
      <c r="D5" s="10" t="n">
        <f aca="false">SUMIFS(Actividades!$K$5:$K$17,Actividades!$C$5:$C$17,A5)</f>
        <v>28</v>
      </c>
      <c r="E5" s="7" t="n">
        <f aca="false">COUNTIFS(Daily_Scrum!$D$6:$D$61,A5,Daily_Scrum!$I$6:$I$61,"&lt;&gt;—")</f>
        <v>7</v>
      </c>
      <c r="F5" s="11" t="n">
        <f aca="false">E5/Config!$B$6</f>
        <v>0.5</v>
      </c>
      <c r="G5" s="7" t="n">
        <f aca="false">COUNTIFS(Daily_Scrum!$D$6:$D$61,A5,Daily_Scrum!$E$6:$E$61,"✔")</f>
        <v>13</v>
      </c>
      <c r="H5" s="11" t="n">
        <f aca="false">G5/Config!$B$6</f>
        <v>0.928571428571429</v>
      </c>
    </row>
    <row r="6" customFormat="false" ht="15" hidden="false" customHeight="false" outlineLevel="0" collapsed="false">
      <c r="A6" s="20" t="str">
        <f aca="false">Config!A13</f>
        <v>JUAN SEBASTIAN JARAMILLO ORTIZ</v>
      </c>
      <c r="B6" s="7" t="n">
        <f aca="false">COUNTIF(Actividades!$C$5:$C$17,A6)</f>
        <v>3</v>
      </c>
      <c r="C6" s="7" t="n">
        <f aca="false">SUMIFS(Actividades!$D$5:$D$17,Actividades!$C$5:$C$17,A6)</f>
        <v>9</v>
      </c>
      <c r="D6" s="10" t="n">
        <f aca="false">SUMIFS(Actividades!$K$5:$K$17,Actividades!$C$5:$C$17,A6)</f>
        <v>21</v>
      </c>
      <c r="E6" s="7" t="n">
        <f aca="false">COUNTIFS(Daily_Scrum!$D$6:$D$61,A6,Daily_Scrum!$I$6:$I$61,"&lt;&gt;—")</f>
        <v>5</v>
      </c>
      <c r="F6" s="11" t="n">
        <f aca="false">E6/Config!$B$6</f>
        <v>0.357142857142857</v>
      </c>
      <c r="G6" s="7" t="n">
        <f aca="false">COUNTIFS(Daily_Scrum!$D$6:$D$61,A6,Daily_Scrum!$E$6:$E$61,"✔")</f>
        <v>13</v>
      </c>
      <c r="H6" s="11" t="n">
        <f aca="false">G6/Config!$B$6</f>
        <v>0.928571428571429</v>
      </c>
    </row>
    <row r="7" customFormat="false" ht="15" hidden="false" customHeight="false" outlineLevel="0" collapsed="false">
      <c r="A7" s="20" t="str">
        <f aca="false">Config!A14</f>
        <v>ISSABHELLA ALARCON MORENO</v>
      </c>
      <c r="B7" s="7" t="n">
        <f aca="false">COUNTIF(Actividades!$C$5:$C$17,A7)</f>
        <v>3</v>
      </c>
      <c r="C7" s="7" t="n">
        <f aca="false">SUMIFS(Actividades!$D$5:$D$17,Actividades!$C$5:$C$17,A7)</f>
        <v>11</v>
      </c>
      <c r="D7" s="10" t="n">
        <f aca="false">SUMIFS(Actividades!$K$5:$K$17,Actividades!$C$5:$C$17,A7)</f>
        <v>32</v>
      </c>
      <c r="E7" s="7" t="n">
        <f aca="false">COUNTIFS(Daily_Scrum!$D$6:$D$61,A7,Daily_Scrum!$I$6:$I$61,"&lt;&gt;—")</f>
        <v>3</v>
      </c>
      <c r="F7" s="11" t="n">
        <f aca="false">E7/Config!$B$6</f>
        <v>0.214285714285714</v>
      </c>
      <c r="G7" s="7" t="n">
        <f aca="false">COUNTIFS(Daily_Scrum!$D$6:$D$61,A7,Daily_Scrum!$E$6:$E$61,"✔")</f>
        <v>12</v>
      </c>
      <c r="H7" s="11" t="n">
        <f aca="false">G7/Config!$B$6</f>
        <v>0.857142857142857</v>
      </c>
    </row>
    <row r="8" customFormat="false" ht="15" hidden="false" customHeight="false" outlineLevel="0" collapsed="false">
      <c r="A8" s="20" t="str">
        <f aca="false">Config!A15</f>
        <v>VALENTINA ISABEL OSORIO MORAN</v>
      </c>
      <c r="B8" s="7" t="n">
        <f aca="false">COUNTIF(Actividades!$C$5:$C$17,A8)</f>
        <v>4</v>
      </c>
      <c r="C8" s="7" t="n">
        <f aca="false">SUMIFS(Actividades!$D$5:$D$17,Actividades!$C$5:$C$17,A8)</f>
        <v>19</v>
      </c>
      <c r="D8" s="10" t="n">
        <f aca="false">SUMIFS(Actividades!$K$5:$K$17,Actividades!$C$5:$C$17,A8)</f>
        <v>67</v>
      </c>
      <c r="E8" s="7" t="n">
        <f aca="false">COUNTIFS(Daily_Scrum!$D$6:$D$61,A8,Daily_Scrum!$I$6:$I$61,"&lt;&gt;—")</f>
        <v>5</v>
      </c>
      <c r="F8" s="11" t="n">
        <f aca="false">E8/Config!$B$6</f>
        <v>0.357142857142857</v>
      </c>
      <c r="G8" s="7" t="n">
        <f aca="false">COUNTIFS(Daily_Scrum!$D$6:$D$61,A8,Daily_Scrum!$E$6:$E$61,"✔")</f>
        <v>13</v>
      </c>
      <c r="H8" s="11" t="n">
        <f aca="false">G8/Config!$B$6</f>
        <v>0.928571428571429</v>
      </c>
    </row>
    <row r="9" customFormat="false" ht="15" hidden="false" customHeight="false" outlineLevel="0" collapsed="false">
      <c r="A9" s="21" t="s">
        <v>24</v>
      </c>
      <c r="B9" s="22" t="n">
        <f aca="false">SUM(B5:B8)</f>
        <v>13</v>
      </c>
      <c r="C9" s="22" t="n">
        <f aca="false">SUM(C5:C8)</f>
        <v>48</v>
      </c>
      <c r="D9" s="23" t="n">
        <f aca="false">SUM(D5:D8)</f>
        <v>148</v>
      </c>
      <c r="E9" s="22" t="n">
        <f aca="false">SUM(E5:E8)</f>
        <v>20</v>
      </c>
      <c r="G9" s="22" t="n">
        <f aca="false">SUM(G5:G8)</f>
        <v>51</v>
      </c>
      <c r="H9" s="24" t="n">
        <f aca="false">G9/(Config!$B$6*COUNTA(Config!$A$12:$A$15))</f>
        <v>0.910714285714286</v>
      </c>
    </row>
    <row r="12" customFormat="false" ht="30" hidden="false" customHeight="true" outlineLevel="0" collapsed="false">
      <c r="A12" s="5" t="s">
        <v>10</v>
      </c>
      <c r="B12" s="5" t="s">
        <v>25</v>
      </c>
      <c r="C12" s="5" t="s">
        <v>26</v>
      </c>
    </row>
    <row r="13" customFormat="false" ht="15" hidden="false" customHeight="false" outlineLevel="0" collapsed="false">
      <c r="A13" s="20" t="str">
        <f aca="false">Config!A18</f>
        <v>Toma de decisiones</v>
      </c>
      <c r="B13" s="7" t="n">
        <f aca="false">COUNTIF(Daily_Scrum!$I$6:$I$61,A13)</f>
        <v>6</v>
      </c>
      <c r="C13" s="11" t="n">
        <f aca="false">IF($B$17=0,0,B13/$B$17)</f>
        <v>0.3</v>
      </c>
    </row>
    <row r="14" customFormat="false" ht="15" hidden="false" customHeight="false" outlineLevel="0" collapsed="false">
      <c r="A14" s="20" t="str">
        <f aca="false">Config!A19</f>
        <v>Conocimiento</v>
      </c>
      <c r="B14" s="7" t="n">
        <f aca="false">COUNTIF(Daily_Scrum!$I$6:$I$61,A14)</f>
        <v>6</v>
      </c>
      <c r="C14" s="11" t="n">
        <f aca="false">IF($B$17=0,0,B14/$B$17)</f>
        <v>0.3</v>
      </c>
    </row>
    <row r="15" customFormat="false" ht="15" hidden="false" customHeight="false" outlineLevel="0" collapsed="false">
      <c r="A15" s="20" t="str">
        <f aca="false">Config!A20</f>
        <v>Estructura del proyecto</v>
      </c>
      <c r="B15" s="7" t="n">
        <f aca="false">COUNTIF(Daily_Scrum!$I$6:$I$61,A15)</f>
        <v>4</v>
      </c>
      <c r="C15" s="11" t="n">
        <f aca="false">IF($B$17=0,0,B15/$B$17)</f>
        <v>0.2</v>
      </c>
    </row>
    <row r="16" customFormat="false" ht="15" hidden="false" customHeight="false" outlineLevel="0" collapsed="false">
      <c r="A16" s="20" t="str">
        <f aca="false">Config!A21</f>
        <v>Conflicto académico (BD)</v>
      </c>
      <c r="B16" s="7" t="n">
        <f aca="false">COUNTIF(Daily_Scrum!$I$6:$I$61,A16)</f>
        <v>4</v>
      </c>
      <c r="C16" s="11" t="n">
        <f aca="false">IF($B$17=0,0,B16/$B$17)</f>
        <v>0.2</v>
      </c>
    </row>
    <row r="17" customFormat="false" ht="15" hidden="false" customHeight="false" outlineLevel="0" collapsed="false">
      <c r="A17" s="4" t="s">
        <v>24</v>
      </c>
      <c r="B17" s="22" t="n">
        <f aca="false">SUM(B13:B16)</f>
        <v>20</v>
      </c>
      <c r="C17" s="24" t="n">
        <f aca="false">SUM(C13:C16)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42"/>
    <col collapsed="false" customWidth="true" hidden="false" outlineLevel="0" max="2" min="2" style="1" width="18"/>
    <col collapsed="false" customWidth="true" hidden="false" outlineLevel="0" max="3" min="3" style="1" width="22"/>
    <col collapsed="false" customWidth="true" hidden="false" outlineLevel="0" max="4" min="4" style="1" width="28"/>
    <col collapsed="false" customWidth="true" hidden="false" outlineLevel="0" max="5" min="5" style="1" width="20"/>
    <col collapsed="false" customWidth="true" hidden="false" outlineLevel="0" max="6" min="6" style="1" width="3"/>
    <col collapsed="false" customWidth="true" hidden="false" outlineLevel="0" max="7" min="7" style="1" width="15"/>
    <col collapsed="false" customWidth="true" hidden="false" outlineLevel="0" max="8" min="8" style="1" width="30"/>
    <col collapsed="false" customWidth="true" hidden="false" outlineLevel="0" max="9" min="9" style="1" width="26"/>
    <col collapsed="false" customWidth="true" hidden="false" outlineLevel="0" max="10" min="10" style="1" width="19"/>
    <col collapsed="false" customWidth="true" hidden="false" outlineLevel="0" max="11" min="11" style="1" width="3"/>
    <col collapsed="false" customWidth="true" hidden="false" outlineLevel="0" max="12" min="12" style="1" width="20"/>
  </cols>
  <sheetData>
    <row r="1" customFormat="false" ht="17.35" hidden="false" customHeight="false" outlineLevel="0" collapsed="false">
      <c r="A1" s="2" t="s">
        <v>27</v>
      </c>
    </row>
    <row r="2" customFormat="false" ht="15" hidden="false" customHeight="false" outlineLevel="0" collapsed="false">
      <c r="A2" s="3" t="s">
        <v>28</v>
      </c>
    </row>
    <row r="4" customFormat="false" ht="30" hidden="false" customHeight="true" outlineLevel="0" collapsed="false">
      <c r="A4" s="25" t="s">
        <v>29</v>
      </c>
      <c r="B4" s="26" t="n">
        <v>46275</v>
      </c>
      <c r="E4" s="4" t="s">
        <v>30</v>
      </c>
      <c r="G4" s="5" t="s">
        <v>31</v>
      </c>
      <c r="H4" s="5" t="s">
        <v>32</v>
      </c>
      <c r="I4" s="5" t="s">
        <v>33</v>
      </c>
      <c r="J4" s="5" t="s">
        <v>34</v>
      </c>
      <c r="L4" s="5" t="s">
        <v>35</v>
      </c>
    </row>
    <row r="5" customFormat="false" ht="15" hidden="false" customHeight="false" outlineLevel="0" collapsed="false">
      <c r="A5" s="25" t="s">
        <v>36</v>
      </c>
      <c r="B5" s="26" t="n">
        <v>46294</v>
      </c>
      <c r="E5" s="26"/>
      <c r="G5" s="9" t="n">
        <v>1</v>
      </c>
      <c r="H5" s="27" t="s">
        <v>37</v>
      </c>
      <c r="I5" s="27" t="s">
        <v>38</v>
      </c>
      <c r="J5" s="9" t="n">
        <v>3</v>
      </c>
      <c r="L5" s="9" t="n">
        <v>1</v>
      </c>
    </row>
    <row r="6" customFormat="false" ht="15" hidden="false" customHeight="false" outlineLevel="0" collapsed="false">
      <c r="A6" s="25" t="s">
        <v>39</v>
      </c>
      <c r="B6" s="8" t="n">
        <f aca="false">NETWORKDAYS(B4,B5,E5:E9)</f>
        <v>14</v>
      </c>
      <c r="E6" s="26"/>
      <c r="G6" s="9" t="n">
        <v>2</v>
      </c>
      <c r="H6" s="27" t="s">
        <v>40</v>
      </c>
      <c r="I6" s="27" t="s">
        <v>41</v>
      </c>
      <c r="J6" s="9" t="n">
        <v>5</v>
      </c>
      <c r="L6" s="9" t="n">
        <v>2</v>
      </c>
    </row>
    <row r="7" customFormat="false" ht="15" hidden="false" customHeight="false" outlineLevel="0" collapsed="false">
      <c r="A7" s="25" t="s">
        <v>42</v>
      </c>
      <c r="B7" s="27" t="s">
        <v>43</v>
      </c>
      <c r="C7" s="3" t="s">
        <v>44</v>
      </c>
      <c r="E7" s="26"/>
      <c r="G7" s="9" t="n">
        <v>3</v>
      </c>
      <c r="H7" s="27" t="s">
        <v>45</v>
      </c>
      <c r="I7" s="27" t="s">
        <v>46</v>
      </c>
      <c r="J7" s="9" t="n">
        <v>7</v>
      </c>
      <c r="L7" s="9" t="n">
        <v>3</v>
      </c>
    </row>
    <row r="8" customFormat="false" ht="45" hidden="false" customHeight="true" outlineLevel="0" collapsed="false">
      <c r="A8" s="25" t="s">
        <v>47</v>
      </c>
      <c r="B8" s="27" t="s">
        <v>48</v>
      </c>
      <c r="C8" s="27"/>
      <c r="D8" s="27"/>
      <c r="E8" s="26"/>
      <c r="G8" s="9" t="n">
        <v>5</v>
      </c>
      <c r="H8" s="27" t="s">
        <v>49</v>
      </c>
      <c r="I8" s="27" t="s">
        <v>50</v>
      </c>
      <c r="J8" s="9" t="n">
        <v>18</v>
      </c>
      <c r="L8" s="9" t="n">
        <v>5</v>
      </c>
    </row>
    <row r="9" customFormat="false" ht="15" hidden="false" customHeight="false" outlineLevel="0" collapsed="false">
      <c r="E9" s="26"/>
      <c r="G9" s="9" t="n">
        <v>8</v>
      </c>
      <c r="H9" s="27" t="s">
        <v>51</v>
      </c>
      <c r="I9" s="27" t="s">
        <v>52</v>
      </c>
      <c r="J9" s="9" t="n">
        <v>35</v>
      </c>
      <c r="L9" s="9" t="n">
        <v>8</v>
      </c>
    </row>
    <row r="10" customFormat="false" ht="15" hidden="false" customHeight="false" outlineLevel="0" collapsed="false">
      <c r="G10" s="9" t="n">
        <v>13</v>
      </c>
      <c r="H10" s="27" t="s">
        <v>53</v>
      </c>
      <c r="I10" s="27" t="s">
        <v>54</v>
      </c>
      <c r="J10" s="9" t="n">
        <v>122</v>
      </c>
      <c r="L10" s="9" t="n">
        <v>13</v>
      </c>
    </row>
    <row r="11" customFormat="false" ht="30" hidden="false" customHeight="true" outlineLevel="0" collapsed="false">
      <c r="A11" s="5" t="s">
        <v>55</v>
      </c>
      <c r="B11" s="5" t="s">
        <v>11</v>
      </c>
      <c r="C11" s="5" t="s">
        <v>56</v>
      </c>
      <c r="G11" s="9" t="n">
        <v>20</v>
      </c>
      <c r="H11" s="27" t="s">
        <v>57</v>
      </c>
      <c r="I11" s="27" t="s">
        <v>58</v>
      </c>
      <c r="J11" s="9" t="s">
        <v>59</v>
      </c>
    </row>
    <row r="12" customFormat="false" ht="15" hidden="false" customHeight="false" outlineLevel="0" collapsed="false">
      <c r="A12" s="27" t="s">
        <v>60</v>
      </c>
      <c r="B12" s="7" t="n">
        <v>1</v>
      </c>
      <c r="C12" s="6" t="n">
        <f aca="false">$B$4</f>
        <v>46275</v>
      </c>
      <c r="G12" s="3" t="s">
        <v>61</v>
      </c>
    </row>
    <row r="13" customFormat="false" ht="15" hidden="false" customHeight="false" outlineLevel="0" collapsed="false">
      <c r="A13" s="27" t="s">
        <v>62</v>
      </c>
      <c r="B13" s="7" t="n">
        <v>2</v>
      </c>
      <c r="C13" s="6" t="n">
        <f aca="false">IF(B13&lt;=$B$6,WORKDAY(C12,1,$E$5:$E$9),"")</f>
        <v>46276</v>
      </c>
      <c r="G13" s="3" t="s">
        <v>63</v>
      </c>
    </row>
    <row r="14" customFormat="false" ht="15" hidden="false" customHeight="false" outlineLevel="0" collapsed="false">
      <c r="A14" s="27" t="s">
        <v>64</v>
      </c>
      <c r="B14" s="7" t="n">
        <v>3</v>
      </c>
      <c r="C14" s="6" t="n">
        <f aca="false">IF(B14&lt;=$B$6,WORKDAY(C13,1,$E$5:$E$9),"")</f>
        <v>46279</v>
      </c>
    </row>
    <row r="15" customFormat="false" ht="15" hidden="false" customHeight="false" outlineLevel="0" collapsed="false">
      <c r="A15" s="27" t="s">
        <v>65</v>
      </c>
      <c r="B15" s="7" t="n">
        <v>4</v>
      </c>
      <c r="C15" s="6" t="n">
        <f aca="false">IF(B15&lt;=$B$6,WORKDAY(C14,1,$E$5:$E$9),"")</f>
        <v>46280</v>
      </c>
    </row>
    <row r="16" customFormat="false" ht="15" hidden="false" customHeight="false" outlineLevel="0" collapsed="false">
      <c r="B16" s="7" t="n">
        <v>5</v>
      </c>
      <c r="C16" s="6" t="n">
        <f aca="false">IF(B16&lt;=$B$6,WORKDAY(C15,1,$E$5:$E$9),"")</f>
        <v>46281</v>
      </c>
    </row>
    <row r="17" customFormat="false" ht="15" hidden="false" customHeight="false" outlineLevel="0" collapsed="false">
      <c r="A17" s="4" t="s">
        <v>66</v>
      </c>
      <c r="B17" s="7" t="n">
        <v>6</v>
      </c>
      <c r="C17" s="6" t="n">
        <f aca="false">IF(B17&lt;=$B$6,WORKDAY(C16,1,$E$5:$E$9),"")</f>
        <v>46282</v>
      </c>
    </row>
    <row r="18" customFormat="false" ht="15" hidden="false" customHeight="false" outlineLevel="0" collapsed="false">
      <c r="A18" s="27" t="s">
        <v>67</v>
      </c>
      <c r="B18" s="7" t="n">
        <v>7</v>
      </c>
      <c r="C18" s="6" t="n">
        <f aca="false">IF(B18&lt;=$B$6,WORKDAY(C17,1,$E$5:$E$9),"")</f>
        <v>46283</v>
      </c>
    </row>
    <row r="19" customFormat="false" ht="15" hidden="false" customHeight="false" outlineLevel="0" collapsed="false">
      <c r="A19" s="27" t="s">
        <v>68</v>
      </c>
      <c r="B19" s="7" t="n">
        <v>8</v>
      </c>
      <c r="C19" s="6" t="n">
        <f aca="false">IF(B19&lt;=$B$6,WORKDAY(C18,1,$E$5:$E$9),"")</f>
        <v>46286</v>
      </c>
    </row>
    <row r="20" customFormat="false" ht="15" hidden="false" customHeight="false" outlineLevel="0" collapsed="false">
      <c r="A20" s="27" t="s">
        <v>69</v>
      </c>
      <c r="B20" s="7" t="n">
        <v>9</v>
      </c>
      <c r="C20" s="6" t="n">
        <f aca="false">IF(B20&lt;=$B$6,WORKDAY(C19,1,$E$5:$E$9),"")</f>
        <v>46287</v>
      </c>
    </row>
    <row r="21" customFormat="false" ht="15" hidden="false" customHeight="false" outlineLevel="0" collapsed="false">
      <c r="A21" s="27" t="s">
        <v>70</v>
      </c>
      <c r="B21" s="7" t="n">
        <v>10</v>
      </c>
      <c r="C21" s="6" t="n">
        <f aca="false">IF(B21&lt;=$B$6,WORKDAY(C20,1,$E$5:$E$9),"")</f>
        <v>46288</v>
      </c>
    </row>
    <row r="22" customFormat="false" ht="15" hidden="false" customHeight="false" outlineLevel="0" collapsed="false">
      <c r="B22" s="7" t="n">
        <v>11</v>
      </c>
      <c r="C22" s="6" t="n">
        <f aca="false">IF(B22&lt;=$B$6,WORKDAY(C21,1,$E$5:$E$9),"")</f>
        <v>46289</v>
      </c>
    </row>
    <row r="23" customFormat="false" ht="15" hidden="false" customHeight="false" outlineLevel="0" collapsed="false">
      <c r="B23" s="7" t="n">
        <v>12</v>
      </c>
      <c r="C23" s="6" t="n">
        <f aca="false">IF(B23&lt;=$B$6,WORKDAY(C22,1,$E$5:$E$9),"")</f>
        <v>46290</v>
      </c>
    </row>
    <row r="24" customFormat="false" ht="15" hidden="false" customHeight="false" outlineLevel="0" collapsed="false">
      <c r="B24" s="7" t="n">
        <v>13</v>
      </c>
      <c r="C24" s="6" t="n">
        <f aca="false">IF(B24&lt;=$B$6,WORKDAY(C23,1,$E$5:$E$9),"")</f>
        <v>46293</v>
      </c>
    </row>
    <row r="25" customFormat="false" ht="15" hidden="false" customHeight="false" outlineLevel="0" collapsed="false">
      <c r="B25" s="7" t="n">
        <v>14</v>
      </c>
      <c r="C25" s="6" t="n">
        <f aca="false">IF(B25&lt;=$B$6,WORKDAY(C24,1,$E$5:$E$9),"")</f>
        <v>46294</v>
      </c>
    </row>
    <row r="26" customFormat="false" ht="15" hidden="false" customHeight="false" outlineLevel="0" collapsed="false">
      <c r="B26" s="7" t="n">
        <v>15</v>
      </c>
      <c r="C26" s="6" t="str">
        <f aca="false">IF(B26&lt;=$B$6,WORKDAY(C25,1,$E$5:$E$9),"")</f>
        <v/>
      </c>
    </row>
    <row r="27" customFormat="false" ht="15" hidden="false" customHeight="false" outlineLevel="0" collapsed="false">
      <c r="B27" s="7" t="n">
        <v>16</v>
      </c>
      <c r="C27" s="6" t="str">
        <f aca="false">IF(B27&lt;=$B$6,WORKDAY(C26,1,$E$5:$E$9),"")</f>
        <v/>
      </c>
    </row>
    <row r="28" customFormat="false" ht="15" hidden="false" customHeight="false" outlineLevel="0" collapsed="false">
      <c r="B28" s="7" t="n">
        <v>17</v>
      </c>
      <c r="C28" s="6" t="str">
        <f aca="false">IF(B28&lt;=$B$6,WORKDAY(C27,1,$E$5:$E$9),"")</f>
        <v/>
      </c>
    </row>
    <row r="29" customFormat="false" ht="15" hidden="false" customHeight="false" outlineLevel="0" collapsed="false">
      <c r="B29" s="7" t="n">
        <v>18</v>
      </c>
      <c r="C29" s="6" t="str">
        <f aca="false">IF(B29&lt;=$B$6,WORKDAY(C28,1,$E$5:$E$9),"")</f>
        <v/>
      </c>
    </row>
    <row r="30" customFormat="false" ht="15" hidden="false" customHeight="false" outlineLevel="0" collapsed="false">
      <c r="B30" s="7" t="n">
        <v>19</v>
      </c>
      <c r="C30" s="6" t="str">
        <f aca="false">IF(B30&lt;=$B$6,WORKDAY(C29,1,$E$5:$E$9),"")</f>
        <v/>
      </c>
    </row>
    <row r="31" customFormat="false" ht="15" hidden="false" customHeight="false" outlineLevel="0" collapsed="false">
      <c r="B31" s="7" t="n">
        <v>20</v>
      </c>
      <c r="C31" s="6" t="str">
        <f aca="false">IF(B31&lt;=$B$6,WORKDAY(C30,1,$E$5:$E$9),"")</f>
        <v/>
      </c>
    </row>
  </sheetData>
  <mergeCells count="1">
    <mergeCell ref="B8:D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60"/>
    <col collapsed="false" customWidth="true" hidden="false" outlineLevel="0" max="3" min="3" style="1" width="32"/>
    <col collapsed="false" customWidth="true" hidden="false" outlineLevel="0" max="4" min="4" style="1" width="8"/>
    <col collapsed="false" customWidth="true" hidden="false" outlineLevel="0" max="5" min="5" style="1" width="11"/>
    <col collapsed="false" customWidth="true" hidden="false" outlineLevel="0" max="7" min="6" style="1" width="9"/>
    <col collapsed="false" customWidth="true" hidden="false" outlineLevel="0" max="8" min="8" style="1" width="7"/>
    <col collapsed="false" customWidth="true" hidden="false" outlineLevel="0" max="10" min="9" style="1" width="13"/>
    <col collapsed="false" customWidth="true" hidden="false" outlineLevel="0" max="12" min="11" style="1" width="10"/>
    <col collapsed="false" customWidth="true" hidden="false" outlineLevel="0" max="13" min="13" style="1" width="26"/>
  </cols>
  <sheetData>
    <row r="1" customFormat="false" ht="17.35" hidden="false" customHeight="false" outlineLevel="0" collapsed="false">
      <c r="A1" s="2" t="s">
        <v>71</v>
      </c>
    </row>
    <row r="2" customFormat="false" ht="15" hidden="false" customHeight="false" outlineLevel="0" collapsed="false">
      <c r="A2" s="3" t="s">
        <v>72</v>
      </c>
    </row>
    <row r="4" customFormat="false" ht="30" hidden="false" customHeight="true" outlineLevel="0" collapsed="false">
      <c r="A4" s="5" t="s">
        <v>3</v>
      </c>
      <c r="B4" s="5" t="s">
        <v>73</v>
      </c>
      <c r="C4" s="5" t="s">
        <v>5</v>
      </c>
      <c r="D4" s="5" t="s">
        <v>18</v>
      </c>
      <c r="E4" s="5" t="s">
        <v>74</v>
      </c>
      <c r="F4" s="5" t="s">
        <v>75</v>
      </c>
      <c r="G4" s="5" t="s">
        <v>76</v>
      </c>
      <c r="H4" s="5" t="s">
        <v>77</v>
      </c>
      <c r="I4" s="5" t="s">
        <v>78</v>
      </c>
      <c r="J4" s="5" t="s">
        <v>79</v>
      </c>
      <c r="K4" s="5" t="s">
        <v>80</v>
      </c>
      <c r="L4" s="5" t="s">
        <v>81</v>
      </c>
      <c r="M4" s="5" t="s">
        <v>82</v>
      </c>
    </row>
    <row r="5" customFormat="false" ht="24.05" hidden="false" customHeight="false" outlineLevel="0" collapsed="false">
      <c r="A5" s="9" t="s">
        <v>83</v>
      </c>
      <c r="B5" s="27" t="s">
        <v>84</v>
      </c>
      <c r="C5" s="27" t="s">
        <v>60</v>
      </c>
      <c r="D5" s="9" t="n">
        <v>1</v>
      </c>
      <c r="E5" s="9" t="s">
        <v>85</v>
      </c>
      <c r="F5" s="28" t="n">
        <f aca="false">ROUND((SUMIFS($D$5:D5,$C$5:C5,C5)-D5)/SUMIFS($D$5:$D$17,$C$5:$C$17,C5)*Config!$B$6,0)+1</f>
        <v>1</v>
      </c>
      <c r="G5" s="28" t="n">
        <f aca="false">ROUND(SUMIFS($D$5:D5,$C$5:C5,C5)/SUMIFS($D$5:$D$17,$C$5:$C$17,C5)*Config!$B$6,0)</f>
        <v>2</v>
      </c>
      <c r="H5" s="28" t="n">
        <f aca="false">G5-F5+1</f>
        <v>2</v>
      </c>
      <c r="I5" s="29" t="n">
        <f aca="false">INDEX(Config!$C$12:$C$31,F5)</f>
        <v>46275</v>
      </c>
      <c r="J5" s="29" t="n">
        <f aca="false">INDEX(Config!$C$12:$C$31,G5)</f>
        <v>46276</v>
      </c>
      <c r="K5" s="10" t="n">
        <f aca="false">VLOOKUP(D5,Config!$G$5:$J$11,4,FALSE())</f>
        <v>3</v>
      </c>
      <c r="L5" s="10" t="n">
        <f aca="false">IF(K5/H5-LOOKUP(K5/H5,Config!$L$5:$L$10)&lt;IFERROR(INDEX(Config!$L$5:$L$10,MATCH(K5/H5,Config!$L$5:$L$10,1)+1),LOOKUP(K5/H5,Config!$L$5:$L$10))-(K5/H5),LOOKUP(K5/H5,Config!$L$5:$L$10),IFERROR(INDEX(Config!$L$5:$L$10,MATCH(K5/H5,Config!$L$5:$L$10,1)+1),LOOKUP(K5/H5,Config!$L$5:$L$10)))</f>
        <v>2</v>
      </c>
      <c r="M5" s="7" t="str">
        <f aca="false">VLOOKUP(D5,Config!$G$5:$J$11,2,FALSE())</f>
        <v>XS · Simple</v>
      </c>
    </row>
    <row r="6" customFormat="false" ht="24.05" hidden="false" customHeight="false" outlineLevel="0" collapsed="false">
      <c r="A6" s="9" t="s">
        <v>86</v>
      </c>
      <c r="B6" s="27" t="s">
        <v>87</v>
      </c>
      <c r="C6" s="27" t="s">
        <v>60</v>
      </c>
      <c r="D6" s="9" t="n">
        <v>5</v>
      </c>
      <c r="E6" s="9" t="s">
        <v>85</v>
      </c>
      <c r="F6" s="28" t="n">
        <f aca="false">ROUND((SUMIFS($D$5:D6,$C$5:C6,C6)-D6)/SUMIFS($D$5:$D$17,$C$5:$C$17,C6)*Config!$B$6,0)+1</f>
        <v>3</v>
      </c>
      <c r="G6" s="28" t="n">
        <f aca="false">ROUND(SUMIFS($D$5:D6,$C$5:C6,C6)/SUMIFS($D$5:$D$17,$C$5:$C$17,C6)*Config!$B$6,0)</f>
        <v>9</v>
      </c>
      <c r="H6" s="28" t="n">
        <f aca="false">G6-F6+1</f>
        <v>7</v>
      </c>
      <c r="I6" s="29" t="n">
        <f aca="false">INDEX(Config!$C$12:$C$31,F6)</f>
        <v>46279</v>
      </c>
      <c r="J6" s="29" t="n">
        <f aca="false">INDEX(Config!$C$12:$C$31,G6)</f>
        <v>46287</v>
      </c>
      <c r="K6" s="10" t="n">
        <f aca="false">VLOOKUP(D6,Config!$G$5:$J$11,4,FALSE())</f>
        <v>18</v>
      </c>
      <c r="L6" s="10" t="n">
        <f aca="false">IF(K6/H6-LOOKUP(K6/H6,Config!$L$5:$L$10)&lt;IFERROR(INDEX(Config!$L$5:$L$10,MATCH(K6/H6,Config!$L$5:$L$10,1)+1),LOOKUP(K6/H6,Config!$L$5:$L$10))-(K6/H6),LOOKUP(K6/H6,Config!$L$5:$L$10),IFERROR(INDEX(Config!$L$5:$L$10,MATCH(K6/H6,Config!$L$5:$L$10,1)+1),LOOKUP(K6/H6,Config!$L$5:$L$10)))</f>
        <v>3</v>
      </c>
      <c r="M6" s="7" t="str">
        <f aca="false">VLOOKUP(D6,Config!$G$5:$J$11,2,FALSE())</f>
        <v>M · Media</v>
      </c>
    </row>
    <row r="7" customFormat="false" ht="24.05" hidden="false" customHeight="false" outlineLevel="0" collapsed="false">
      <c r="A7" s="9" t="s">
        <v>88</v>
      </c>
      <c r="B7" s="27" t="s">
        <v>89</v>
      </c>
      <c r="C7" s="27" t="s">
        <v>60</v>
      </c>
      <c r="D7" s="9" t="n">
        <v>3</v>
      </c>
      <c r="E7" s="9" t="s">
        <v>85</v>
      </c>
      <c r="F7" s="28" t="n">
        <f aca="false">ROUND((SUMIFS($D$5:D7,$C$5:C7,C7)-D7)/SUMIFS($D$5:$D$17,$C$5:$C$17,C7)*Config!$B$6,0)+1</f>
        <v>10</v>
      </c>
      <c r="G7" s="28" t="n">
        <f aca="false">ROUND(SUMIFS($D$5:D7,$C$5:C7,C7)/SUMIFS($D$5:$D$17,$C$5:$C$17,C7)*Config!$B$6,0)</f>
        <v>14</v>
      </c>
      <c r="H7" s="28" t="n">
        <f aca="false">G7-F7+1</f>
        <v>5</v>
      </c>
      <c r="I7" s="29" t="n">
        <f aca="false">INDEX(Config!$C$12:$C$31,F7)</f>
        <v>46288</v>
      </c>
      <c r="J7" s="29" t="n">
        <f aca="false">INDEX(Config!$C$12:$C$31,G7)</f>
        <v>46294</v>
      </c>
      <c r="K7" s="10" t="n">
        <f aca="false">VLOOKUP(D7,Config!$G$5:$J$11,4,FALSE())</f>
        <v>7</v>
      </c>
      <c r="L7" s="10" t="n">
        <f aca="false">IF(K7/H7-LOOKUP(K7/H7,Config!$L$5:$L$10)&lt;IFERROR(INDEX(Config!$L$5:$L$10,MATCH(K7/H7,Config!$L$5:$L$10,1)+1),LOOKUP(K7/H7,Config!$L$5:$L$10))-(K7/H7),LOOKUP(K7/H7,Config!$L$5:$L$10),IFERROR(INDEX(Config!$L$5:$L$10,MATCH(K7/H7,Config!$L$5:$L$10,1)+1),LOOKUP(K7/H7,Config!$L$5:$L$10)))</f>
        <v>1</v>
      </c>
      <c r="M7" s="7" t="str">
        <f aca="false">VLOOKUP(D7,Config!$G$5:$J$11,2,FALSE())</f>
        <v>S</v>
      </c>
    </row>
    <row r="8" customFormat="false" ht="24.05" hidden="false" customHeight="false" outlineLevel="0" collapsed="false">
      <c r="A8" s="9" t="s">
        <v>90</v>
      </c>
      <c r="B8" s="27" t="s">
        <v>91</v>
      </c>
      <c r="C8" s="27" t="s">
        <v>62</v>
      </c>
      <c r="D8" s="9" t="n">
        <v>3</v>
      </c>
      <c r="E8" s="9" t="s">
        <v>85</v>
      </c>
      <c r="F8" s="28" t="n">
        <f aca="false">ROUND((SUMIFS($D$5:D8,$C$5:C8,C8)-D8)/SUMIFS($D$5:$D$17,$C$5:$C$17,C8)*Config!$B$6,0)+1</f>
        <v>1</v>
      </c>
      <c r="G8" s="28" t="n">
        <f aca="false">ROUND(SUMIFS($D$5:D8,$C$5:C8,C8)/SUMIFS($D$5:$D$17,$C$5:$C$17,C8)*Config!$B$6,0)</f>
        <v>5</v>
      </c>
      <c r="H8" s="28" t="n">
        <f aca="false">G8-F8+1</f>
        <v>5</v>
      </c>
      <c r="I8" s="29" t="n">
        <f aca="false">INDEX(Config!$C$12:$C$31,F8)</f>
        <v>46275</v>
      </c>
      <c r="J8" s="29" t="n">
        <f aca="false">INDEX(Config!$C$12:$C$31,G8)</f>
        <v>46281</v>
      </c>
      <c r="K8" s="10" t="n">
        <f aca="false">VLOOKUP(D8,Config!$G$5:$J$11,4,FALSE())</f>
        <v>7</v>
      </c>
      <c r="L8" s="10" t="n">
        <f aca="false">IF(K8/H8-LOOKUP(K8/H8,Config!$L$5:$L$10)&lt;IFERROR(INDEX(Config!$L$5:$L$10,MATCH(K8/H8,Config!$L$5:$L$10,1)+1),LOOKUP(K8/H8,Config!$L$5:$L$10))-(K8/H8),LOOKUP(K8/H8,Config!$L$5:$L$10),IFERROR(INDEX(Config!$L$5:$L$10,MATCH(K8/H8,Config!$L$5:$L$10,1)+1),LOOKUP(K8/H8,Config!$L$5:$L$10)))</f>
        <v>1</v>
      </c>
      <c r="M8" s="7" t="str">
        <f aca="false">VLOOKUP(D8,Config!$G$5:$J$11,2,FALSE())</f>
        <v>S</v>
      </c>
    </row>
    <row r="9" customFormat="false" ht="24.05" hidden="false" customHeight="false" outlineLevel="0" collapsed="false">
      <c r="A9" s="9" t="s">
        <v>92</v>
      </c>
      <c r="B9" s="27" t="s">
        <v>93</v>
      </c>
      <c r="C9" s="27" t="s">
        <v>62</v>
      </c>
      <c r="D9" s="9" t="n">
        <v>3</v>
      </c>
      <c r="E9" s="9" t="s">
        <v>85</v>
      </c>
      <c r="F9" s="28" t="n">
        <f aca="false">ROUND((SUMIFS($D$5:D9,$C$5:C9,C9)-D9)/SUMIFS($D$5:$D$17,$C$5:$C$17,C9)*Config!$B$6,0)+1</f>
        <v>6</v>
      </c>
      <c r="G9" s="28" t="n">
        <f aca="false">ROUND(SUMIFS($D$5:D9,$C$5:C9,C9)/SUMIFS($D$5:$D$17,$C$5:$C$17,C9)*Config!$B$6,0)</f>
        <v>9</v>
      </c>
      <c r="H9" s="28" t="n">
        <f aca="false">G9-F9+1</f>
        <v>4</v>
      </c>
      <c r="I9" s="29" t="n">
        <f aca="false">INDEX(Config!$C$12:$C$31,F9)</f>
        <v>46282</v>
      </c>
      <c r="J9" s="29" t="n">
        <f aca="false">INDEX(Config!$C$12:$C$31,G9)</f>
        <v>46287</v>
      </c>
      <c r="K9" s="10" t="n">
        <f aca="false">VLOOKUP(D9,Config!$G$5:$J$11,4,FALSE())</f>
        <v>7</v>
      </c>
      <c r="L9" s="10" t="n">
        <f aca="false">IF(K9/H9-LOOKUP(K9/H9,Config!$L$5:$L$10)&lt;IFERROR(INDEX(Config!$L$5:$L$10,MATCH(K9/H9,Config!$L$5:$L$10,1)+1),LOOKUP(K9/H9,Config!$L$5:$L$10))-(K9/H9),LOOKUP(K9/H9,Config!$L$5:$L$10),IFERROR(INDEX(Config!$L$5:$L$10,MATCH(K9/H9,Config!$L$5:$L$10,1)+1),LOOKUP(K9/H9,Config!$L$5:$L$10)))</f>
        <v>2</v>
      </c>
      <c r="M9" s="7" t="str">
        <f aca="false">VLOOKUP(D9,Config!$G$5:$J$11,2,FALSE())</f>
        <v>S</v>
      </c>
    </row>
    <row r="10" customFormat="false" ht="24.05" hidden="false" customHeight="false" outlineLevel="0" collapsed="false">
      <c r="A10" s="9" t="s">
        <v>94</v>
      </c>
      <c r="B10" s="27" t="s">
        <v>95</v>
      </c>
      <c r="C10" s="27" t="s">
        <v>62</v>
      </c>
      <c r="D10" s="9" t="n">
        <v>3</v>
      </c>
      <c r="E10" s="9" t="s">
        <v>85</v>
      </c>
      <c r="F10" s="28" t="n">
        <f aca="false">ROUND((SUMIFS($D$5:D10,$C$5:C10,C10)-D10)/SUMIFS($D$5:$D$17,$C$5:$C$17,C10)*Config!$B$6,0)+1</f>
        <v>10</v>
      </c>
      <c r="G10" s="28" t="n">
        <f aca="false">ROUND(SUMIFS($D$5:D10,$C$5:C10,C10)/SUMIFS($D$5:$D$17,$C$5:$C$17,C10)*Config!$B$6,0)</f>
        <v>14</v>
      </c>
      <c r="H10" s="28" t="n">
        <f aca="false">G10-F10+1</f>
        <v>5</v>
      </c>
      <c r="I10" s="29" t="n">
        <f aca="false">INDEX(Config!$C$12:$C$31,F10)</f>
        <v>46288</v>
      </c>
      <c r="J10" s="29" t="n">
        <f aca="false">INDEX(Config!$C$12:$C$31,G10)</f>
        <v>46294</v>
      </c>
      <c r="K10" s="10" t="n">
        <f aca="false">VLOOKUP(D10,Config!$G$5:$J$11,4,FALSE())</f>
        <v>7</v>
      </c>
      <c r="L10" s="10" t="n">
        <f aca="false">IF(K10/H10-LOOKUP(K10/H10,Config!$L$5:$L$10)&lt;IFERROR(INDEX(Config!$L$5:$L$10,MATCH(K10/H10,Config!$L$5:$L$10,1)+1),LOOKUP(K10/H10,Config!$L$5:$L$10))-(K10/H10),LOOKUP(K10/H10,Config!$L$5:$L$10),IFERROR(INDEX(Config!$L$5:$L$10,MATCH(K10/H10,Config!$L$5:$L$10,1)+1),LOOKUP(K10/H10,Config!$L$5:$L$10)))</f>
        <v>1</v>
      </c>
      <c r="M10" s="7" t="str">
        <f aca="false">VLOOKUP(D10,Config!$G$5:$J$11,2,FALSE())</f>
        <v>S</v>
      </c>
    </row>
    <row r="11" customFormat="false" ht="15" hidden="false" customHeight="false" outlineLevel="0" collapsed="false">
      <c r="A11" s="9" t="s">
        <v>96</v>
      </c>
      <c r="B11" s="27" t="s">
        <v>97</v>
      </c>
      <c r="C11" s="27" t="s">
        <v>64</v>
      </c>
      <c r="D11" s="9" t="n">
        <v>5</v>
      </c>
      <c r="E11" s="9" t="s">
        <v>85</v>
      </c>
      <c r="F11" s="28" t="n">
        <f aca="false">ROUND((SUMIFS($D$5:D11,$C$5:C11,C11)-D11)/SUMIFS($D$5:$D$17,$C$5:$C$17,C11)*Config!$B$6,0)+1</f>
        <v>1</v>
      </c>
      <c r="G11" s="28" t="n">
        <f aca="false">ROUND(SUMIFS($D$5:D11,$C$5:C11,C11)/SUMIFS($D$5:$D$17,$C$5:$C$17,C11)*Config!$B$6,0)</f>
        <v>6</v>
      </c>
      <c r="H11" s="28" t="n">
        <f aca="false">G11-F11+1</f>
        <v>6</v>
      </c>
      <c r="I11" s="29" t="n">
        <f aca="false">INDEX(Config!$C$12:$C$31,F11)</f>
        <v>46275</v>
      </c>
      <c r="J11" s="29" t="n">
        <f aca="false">INDEX(Config!$C$12:$C$31,G11)</f>
        <v>46282</v>
      </c>
      <c r="K11" s="10" t="n">
        <f aca="false">VLOOKUP(D11,Config!$G$5:$J$11,4,FALSE())</f>
        <v>18</v>
      </c>
      <c r="L11" s="10" t="n">
        <f aca="false">IF(K11/H11-LOOKUP(K11/H11,Config!$L$5:$L$10)&lt;IFERROR(INDEX(Config!$L$5:$L$10,MATCH(K11/H11,Config!$L$5:$L$10,1)+1),LOOKUP(K11/H11,Config!$L$5:$L$10))-(K11/H11),LOOKUP(K11/H11,Config!$L$5:$L$10),IFERROR(INDEX(Config!$L$5:$L$10,MATCH(K11/H11,Config!$L$5:$L$10,1)+1),LOOKUP(K11/H11,Config!$L$5:$L$10)))</f>
        <v>3</v>
      </c>
      <c r="M11" s="7" t="str">
        <f aca="false">VLOOKUP(D11,Config!$G$5:$J$11,2,FALSE())</f>
        <v>M · Media</v>
      </c>
    </row>
    <row r="12" customFormat="false" ht="15" hidden="false" customHeight="false" outlineLevel="0" collapsed="false">
      <c r="A12" s="9" t="s">
        <v>98</v>
      </c>
      <c r="B12" s="27" t="s">
        <v>99</v>
      </c>
      <c r="C12" s="27" t="s">
        <v>64</v>
      </c>
      <c r="D12" s="9" t="n">
        <v>3</v>
      </c>
      <c r="E12" s="9" t="s">
        <v>85</v>
      </c>
      <c r="F12" s="28" t="n">
        <f aca="false">ROUND((SUMIFS($D$5:D12,$C$5:C12,C12)-D12)/SUMIFS($D$5:$D$17,$C$5:$C$17,C12)*Config!$B$6,0)+1</f>
        <v>7</v>
      </c>
      <c r="G12" s="28" t="n">
        <f aca="false">ROUND(SUMIFS($D$5:D12,$C$5:C12,C12)/SUMIFS($D$5:$D$17,$C$5:$C$17,C12)*Config!$B$6,0)</f>
        <v>10</v>
      </c>
      <c r="H12" s="28" t="n">
        <f aca="false">G12-F12+1</f>
        <v>4</v>
      </c>
      <c r="I12" s="29" t="n">
        <f aca="false">INDEX(Config!$C$12:$C$31,F12)</f>
        <v>46283</v>
      </c>
      <c r="J12" s="29" t="n">
        <f aca="false">INDEX(Config!$C$12:$C$31,G12)</f>
        <v>46288</v>
      </c>
      <c r="K12" s="10" t="n">
        <f aca="false">VLOOKUP(D12,Config!$G$5:$J$11,4,FALSE())</f>
        <v>7</v>
      </c>
      <c r="L12" s="10" t="n">
        <f aca="false">IF(K12/H12-LOOKUP(K12/H12,Config!$L$5:$L$10)&lt;IFERROR(INDEX(Config!$L$5:$L$10,MATCH(K12/H12,Config!$L$5:$L$10,1)+1),LOOKUP(K12/H12,Config!$L$5:$L$10))-(K12/H12),LOOKUP(K12/H12,Config!$L$5:$L$10),IFERROR(INDEX(Config!$L$5:$L$10,MATCH(K12/H12,Config!$L$5:$L$10,1)+1),LOOKUP(K12/H12,Config!$L$5:$L$10)))</f>
        <v>2</v>
      </c>
      <c r="M12" s="7" t="str">
        <f aca="false">VLOOKUP(D12,Config!$G$5:$J$11,2,FALSE())</f>
        <v>S</v>
      </c>
    </row>
    <row r="13" customFormat="false" ht="24.05" hidden="false" customHeight="false" outlineLevel="0" collapsed="false">
      <c r="A13" s="9" t="s">
        <v>100</v>
      </c>
      <c r="B13" s="27" t="s">
        <v>101</v>
      </c>
      <c r="C13" s="27" t="s">
        <v>64</v>
      </c>
      <c r="D13" s="9" t="n">
        <v>3</v>
      </c>
      <c r="E13" s="9" t="s">
        <v>85</v>
      </c>
      <c r="F13" s="28" t="n">
        <f aca="false">ROUND((SUMIFS($D$5:D13,$C$5:C13,C13)-D13)/SUMIFS($D$5:$D$17,$C$5:$C$17,C13)*Config!$B$6,0)+1</f>
        <v>11</v>
      </c>
      <c r="G13" s="28" t="n">
        <f aca="false">ROUND(SUMIFS($D$5:D13,$C$5:C13,C13)/SUMIFS($D$5:$D$17,$C$5:$C$17,C13)*Config!$B$6,0)</f>
        <v>14</v>
      </c>
      <c r="H13" s="28" t="n">
        <f aca="false">G13-F13+1</f>
        <v>4</v>
      </c>
      <c r="I13" s="29" t="n">
        <f aca="false">INDEX(Config!$C$12:$C$31,F13)</f>
        <v>46289</v>
      </c>
      <c r="J13" s="29" t="n">
        <f aca="false">INDEX(Config!$C$12:$C$31,G13)</f>
        <v>46294</v>
      </c>
      <c r="K13" s="10" t="n">
        <f aca="false">VLOOKUP(D13,Config!$G$5:$J$11,4,FALSE())</f>
        <v>7</v>
      </c>
      <c r="L13" s="10" t="n">
        <f aca="false">IF(K13/H13-LOOKUP(K13/H13,Config!$L$5:$L$10)&lt;IFERROR(INDEX(Config!$L$5:$L$10,MATCH(K13/H13,Config!$L$5:$L$10,1)+1),LOOKUP(K13/H13,Config!$L$5:$L$10))-(K13/H13),LOOKUP(K13/H13,Config!$L$5:$L$10),IFERROR(INDEX(Config!$L$5:$L$10,MATCH(K13/H13,Config!$L$5:$L$10,1)+1),LOOKUP(K13/H13,Config!$L$5:$L$10)))</f>
        <v>2</v>
      </c>
      <c r="M13" s="7" t="str">
        <f aca="false">VLOOKUP(D13,Config!$G$5:$J$11,2,FALSE())</f>
        <v>S</v>
      </c>
    </row>
    <row r="14" customFormat="false" ht="24.05" hidden="false" customHeight="false" outlineLevel="0" collapsed="false">
      <c r="A14" s="9" t="s">
        <v>102</v>
      </c>
      <c r="B14" s="27" t="s">
        <v>103</v>
      </c>
      <c r="C14" s="27" t="s">
        <v>65</v>
      </c>
      <c r="D14" s="9" t="n">
        <v>8</v>
      </c>
      <c r="E14" s="9" t="s">
        <v>85</v>
      </c>
      <c r="F14" s="28" t="n">
        <f aca="false">ROUND((SUMIFS($D$5:D14,$C$5:C14,C14)-D14)/SUMIFS($D$5:$D$17,$C$5:$C$17,C14)*Config!$B$6,0)+1</f>
        <v>1</v>
      </c>
      <c r="G14" s="28" t="n">
        <f aca="false">ROUND(SUMIFS($D$5:D14,$C$5:C14,C14)/SUMIFS($D$5:$D$17,$C$5:$C$17,C14)*Config!$B$6,0)</f>
        <v>6</v>
      </c>
      <c r="H14" s="28" t="n">
        <f aca="false">G14-F14+1</f>
        <v>6</v>
      </c>
      <c r="I14" s="29" t="n">
        <f aca="false">INDEX(Config!$C$12:$C$31,F14)</f>
        <v>46275</v>
      </c>
      <c r="J14" s="29" t="n">
        <f aca="false">INDEX(Config!$C$12:$C$31,G14)</f>
        <v>46282</v>
      </c>
      <c r="K14" s="10" t="n">
        <f aca="false">VLOOKUP(D14,Config!$G$5:$J$11,4,FALSE())</f>
        <v>35</v>
      </c>
      <c r="L14" s="10" t="n">
        <f aca="false">IF(K14/H14-LOOKUP(K14/H14,Config!$L$5:$L$10)&lt;IFERROR(INDEX(Config!$L$5:$L$10,MATCH(K14/H14,Config!$L$5:$L$10,1)+1),LOOKUP(K14/H14,Config!$L$5:$L$10))-(K14/H14),LOOKUP(K14/H14,Config!$L$5:$L$10),IFERROR(INDEX(Config!$L$5:$L$10,MATCH(K14/H14,Config!$L$5:$L$10,1)+1),LOOKUP(K14/H14,Config!$L$5:$L$10)))</f>
        <v>5</v>
      </c>
      <c r="M14" s="7" t="str">
        <f aca="false">VLOOKUP(D14,Config!$G$5:$J$11,2,FALSE())</f>
        <v>L · Compleja</v>
      </c>
    </row>
    <row r="15" customFormat="false" ht="24.05" hidden="false" customHeight="false" outlineLevel="0" collapsed="false">
      <c r="A15" s="9" t="s">
        <v>104</v>
      </c>
      <c r="B15" s="27" t="s">
        <v>105</v>
      </c>
      <c r="C15" s="27" t="s">
        <v>65</v>
      </c>
      <c r="D15" s="9" t="n">
        <v>5</v>
      </c>
      <c r="E15" s="9" t="s">
        <v>85</v>
      </c>
      <c r="F15" s="28" t="n">
        <f aca="false">ROUND((SUMIFS($D$5:D15,$C$5:C15,C15)-D15)/SUMIFS($D$5:$D$17,$C$5:$C$17,C15)*Config!$B$6,0)+1</f>
        <v>7</v>
      </c>
      <c r="G15" s="28" t="n">
        <f aca="false">ROUND(SUMIFS($D$5:D15,$C$5:C15,C15)/SUMIFS($D$5:$D$17,$C$5:$C$17,C15)*Config!$B$6,0)</f>
        <v>10</v>
      </c>
      <c r="H15" s="28" t="n">
        <f aca="false">G15-F15+1</f>
        <v>4</v>
      </c>
      <c r="I15" s="29" t="n">
        <f aca="false">INDEX(Config!$C$12:$C$31,F15)</f>
        <v>46283</v>
      </c>
      <c r="J15" s="29" t="n">
        <f aca="false">INDEX(Config!$C$12:$C$31,G15)</f>
        <v>46288</v>
      </c>
      <c r="K15" s="10" t="n">
        <f aca="false">VLOOKUP(D15,Config!$G$5:$J$11,4,FALSE())</f>
        <v>18</v>
      </c>
      <c r="L15" s="10" t="n">
        <f aca="false">IF(K15/H15-LOOKUP(K15/H15,Config!$L$5:$L$10)&lt;IFERROR(INDEX(Config!$L$5:$L$10,MATCH(K15/H15,Config!$L$5:$L$10,1)+1),LOOKUP(K15/H15,Config!$L$5:$L$10))-(K15/H15),LOOKUP(K15/H15,Config!$L$5:$L$10),IFERROR(INDEX(Config!$L$5:$L$10,MATCH(K15/H15,Config!$L$5:$L$10,1)+1),LOOKUP(K15/H15,Config!$L$5:$L$10)))</f>
        <v>5</v>
      </c>
      <c r="M15" s="7" t="str">
        <f aca="false">VLOOKUP(D15,Config!$G$5:$J$11,2,FALSE())</f>
        <v>M · Media</v>
      </c>
    </row>
    <row r="16" customFormat="false" ht="24.05" hidden="false" customHeight="false" outlineLevel="0" collapsed="false">
      <c r="A16" s="9" t="s">
        <v>106</v>
      </c>
      <c r="B16" s="27" t="s">
        <v>107</v>
      </c>
      <c r="C16" s="27" t="s">
        <v>65</v>
      </c>
      <c r="D16" s="9" t="n">
        <v>3</v>
      </c>
      <c r="E16" s="9" t="s">
        <v>85</v>
      </c>
      <c r="F16" s="28" t="n">
        <f aca="false">ROUND((SUMIFS($D$5:D16,$C$5:C16,C16)-D16)/SUMIFS($D$5:$D$17,$C$5:$C$17,C16)*Config!$B$6,0)+1</f>
        <v>11</v>
      </c>
      <c r="G16" s="28" t="n">
        <f aca="false">ROUND(SUMIFS($D$5:D16,$C$5:C16,C16)/SUMIFS($D$5:$D$17,$C$5:$C$17,C16)*Config!$B$6,0)</f>
        <v>12</v>
      </c>
      <c r="H16" s="28" t="n">
        <f aca="false">G16-F16+1</f>
        <v>2</v>
      </c>
      <c r="I16" s="29" t="n">
        <f aca="false">INDEX(Config!$C$12:$C$31,F16)</f>
        <v>46289</v>
      </c>
      <c r="J16" s="29" t="n">
        <f aca="false">INDEX(Config!$C$12:$C$31,G16)</f>
        <v>46290</v>
      </c>
      <c r="K16" s="10" t="n">
        <f aca="false">VLOOKUP(D16,Config!$G$5:$J$11,4,FALSE())</f>
        <v>7</v>
      </c>
      <c r="L16" s="10" t="n">
        <f aca="false">IF(K16/H16-LOOKUP(K16/H16,Config!$L$5:$L$10)&lt;IFERROR(INDEX(Config!$L$5:$L$10,MATCH(K16/H16,Config!$L$5:$L$10,1)+1),LOOKUP(K16/H16,Config!$L$5:$L$10))-(K16/H16),LOOKUP(K16/H16,Config!$L$5:$L$10),IFERROR(INDEX(Config!$L$5:$L$10,MATCH(K16/H16,Config!$L$5:$L$10,1)+1),LOOKUP(K16/H16,Config!$L$5:$L$10)))</f>
        <v>3</v>
      </c>
      <c r="M16" s="7" t="str">
        <f aca="false">VLOOKUP(D16,Config!$G$5:$J$11,2,FALSE())</f>
        <v>S</v>
      </c>
    </row>
    <row r="17" customFormat="false" ht="24.05" hidden="false" customHeight="false" outlineLevel="0" collapsed="false">
      <c r="A17" s="9" t="s">
        <v>108</v>
      </c>
      <c r="B17" s="27" t="s">
        <v>109</v>
      </c>
      <c r="C17" s="27" t="s">
        <v>65</v>
      </c>
      <c r="D17" s="9" t="n">
        <v>3</v>
      </c>
      <c r="E17" s="9" t="s">
        <v>85</v>
      </c>
      <c r="F17" s="28" t="n">
        <f aca="false">ROUND((SUMIFS($D$5:D17,$C$5:C17,C17)-D17)/SUMIFS($D$5:$D$17,$C$5:$C$17,C17)*Config!$B$6,0)+1</f>
        <v>13</v>
      </c>
      <c r="G17" s="28" t="n">
        <f aca="false">ROUND(SUMIFS($D$5:D17,$C$5:C17,C17)/SUMIFS($D$5:$D$17,$C$5:$C$17,C17)*Config!$B$6,0)</f>
        <v>14</v>
      </c>
      <c r="H17" s="28" t="n">
        <f aca="false">G17-F17+1</f>
        <v>2</v>
      </c>
      <c r="I17" s="29" t="n">
        <f aca="false">INDEX(Config!$C$12:$C$31,F17)</f>
        <v>46293</v>
      </c>
      <c r="J17" s="29" t="n">
        <f aca="false">INDEX(Config!$C$12:$C$31,G17)</f>
        <v>46294</v>
      </c>
      <c r="K17" s="10" t="n">
        <f aca="false">VLOOKUP(D17,Config!$G$5:$J$11,4,FALSE())</f>
        <v>7</v>
      </c>
      <c r="L17" s="10" t="n">
        <f aca="false">IF(K17/H17-LOOKUP(K17/H17,Config!$L$5:$L$10)&lt;IFERROR(INDEX(Config!$L$5:$L$10,MATCH(K17/H17,Config!$L$5:$L$10,1)+1),LOOKUP(K17/H17,Config!$L$5:$L$10))-(K17/H17),LOOKUP(K17/H17,Config!$L$5:$L$10),IFERROR(INDEX(Config!$L$5:$L$10,MATCH(K17/H17,Config!$L$5:$L$10,1)+1),LOOKUP(K17/H17,Config!$L$5:$L$10)))</f>
        <v>3</v>
      </c>
      <c r="M17" s="7" t="str">
        <f aca="false">VLOOKUP(D17,Config!$G$5:$J$11,2,FALSE())</f>
        <v>S</v>
      </c>
    </row>
    <row r="18" customFormat="false" ht="15" hidden="false" customHeight="false" outlineLevel="0" collapsed="false">
      <c r="A18" s="22" t="s">
        <v>24</v>
      </c>
      <c r="D18" s="22" t="n">
        <f aca="false">SUM(D5:D17)</f>
        <v>48</v>
      </c>
      <c r="K18" s="22" t="n">
        <f aca="false">SUM(K5:K17)</f>
        <v>148</v>
      </c>
    </row>
  </sheetData>
  <dataValidations count="1">
    <dataValidation allowBlank="true" errorStyle="stop" operator="between" showDropDown="false" showErrorMessage="false" showInputMessage="false" sqref="E5:E17" type="list">
      <formula1>"Por hacer,En curso,Listo"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8"/>
    <col collapsed="false" customWidth="true" hidden="false" outlineLevel="0" max="3" min="2" style="1" width="13"/>
    <col collapsed="false" customWidth="true" hidden="false" outlineLevel="0" max="4" min="4" style="1" width="26"/>
    <col collapsed="false" customWidth="true" hidden="false" outlineLevel="0" max="5" min="5" style="1" width="85"/>
    <col collapsed="false" customWidth="true" hidden="false" outlineLevel="0" max="6" min="6" style="1" width="12"/>
  </cols>
  <sheetData>
    <row r="1" customFormat="false" ht="17.35" hidden="false" customHeight="false" outlineLevel="0" collapsed="false">
      <c r="A1" s="2" t="s">
        <v>110</v>
      </c>
    </row>
    <row r="2" customFormat="false" ht="15" hidden="false" customHeight="false" outlineLevel="0" collapsed="false">
      <c r="A2" s="3" t="s">
        <v>111</v>
      </c>
    </row>
    <row r="4" customFormat="false" ht="30" hidden="false" customHeight="true" outlineLevel="0" collapsed="false">
      <c r="A4" s="5" t="s">
        <v>11</v>
      </c>
      <c r="B4" s="5" t="s">
        <v>2</v>
      </c>
      <c r="C4" s="5" t="s">
        <v>3</v>
      </c>
      <c r="D4" s="5" t="s">
        <v>112</v>
      </c>
      <c r="E4" s="5" t="s">
        <v>113</v>
      </c>
      <c r="F4" s="5" t="s">
        <v>114</v>
      </c>
    </row>
    <row r="5" customFormat="false" ht="24.05" hidden="false" customHeight="false" outlineLevel="0" collapsed="false">
      <c r="A5" s="9" t="n">
        <v>1</v>
      </c>
      <c r="B5" s="29" t="n">
        <f aca="false">INDEX(Config!$C$12:$C$31,A5)</f>
        <v>46275</v>
      </c>
      <c r="C5" s="9" t="s">
        <v>83</v>
      </c>
      <c r="D5" s="27" t="s">
        <v>67</v>
      </c>
      <c r="E5" s="27" t="s">
        <v>115</v>
      </c>
      <c r="F5" s="7" t="str">
        <f aca="false">C5&amp;"|"&amp;A5</f>
        <v>SCR-4|1</v>
      </c>
    </row>
    <row r="6" customFormat="false" ht="15" hidden="false" customHeight="false" outlineLevel="0" collapsed="false">
      <c r="A6" s="9" t="n">
        <v>2</v>
      </c>
      <c r="B6" s="29" t="n">
        <f aca="false">INDEX(Config!$C$12:$C$31,A6)</f>
        <v>46276</v>
      </c>
      <c r="C6" s="9" t="s">
        <v>90</v>
      </c>
      <c r="D6" s="27" t="s">
        <v>68</v>
      </c>
      <c r="E6" s="27" t="s">
        <v>116</v>
      </c>
      <c r="F6" s="7" t="str">
        <f aca="false">C6&amp;"|"&amp;A6</f>
        <v>SCR-7|2</v>
      </c>
    </row>
    <row r="7" customFormat="false" ht="24.05" hidden="false" customHeight="false" outlineLevel="0" collapsed="false">
      <c r="A7" s="9" t="n">
        <v>2</v>
      </c>
      <c r="B7" s="29" t="n">
        <f aca="false">INDEX(Config!$C$12:$C$31,A7)</f>
        <v>46276</v>
      </c>
      <c r="C7" s="9" t="s">
        <v>102</v>
      </c>
      <c r="D7" s="27" t="s">
        <v>68</v>
      </c>
      <c r="E7" s="27" t="s">
        <v>117</v>
      </c>
      <c r="F7" s="7" t="str">
        <f aca="false">C7&amp;"|"&amp;A7</f>
        <v>SCR-13|2</v>
      </c>
    </row>
    <row r="8" customFormat="false" ht="24.05" hidden="false" customHeight="false" outlineLevel="0" collapsed="false">
      <c r="A8" s="9" t="n">
        <v>3</v>
      </c>
      <c r="B8" s="29" t="n">
        <f aca="false">INDEX(Config!$C$12:$C$31,A8)</f>
        <v>46279</v>
      </c>
      <c r="C8" s="9" t="s">
        <v>86</v>
      </c>
      <c r="D8" s="27" t="s">
        <v>70</v>
      </c>
      <c r="E8" s="27" t="s">
        <v>118</v>
      </c>
      <c r="F8" s="7" t="str">
        <f aca="false">C8&amp;"|"&amp;A8</f>
        <v>SCR-5|3</v>
      </c>
    </row>
    <row r="9" customFormat="false" ht="15" hidden="false" customHeight="false" outlineLevel="0" collapsed="false">
      <c r="A9" s="9" t="n">
        <v>3</v>
      </c>
      <c r="B9" s="29" t="n">
        <f aca="false">INDEX(Config!$C$12:$C$31,A9)</f>
        <v>46279</v>
      </c>
      <c r="C9" s="9" t="s">
        <v>90</v>
      </c>
      <c r="D9" s="27" t="s">
        <v>67</v>
      </c>
      <c r="E9" s="27" t="s">
        <v>119</v>
      </c>
      <c r="F9" s="7" t="str">
        <f aca="false">C9&amp;"|"&amp;A9</f>
        <v>SCR-7|3</v>
      </c>
    </row>
    <row r="10" customFormat="false" ht="15" hidden="false" customHeight="false" outlineLevel="0" collapsed="false">
      <c r="A10" s="9" t="n">
        <v>3</v>
      </c>
      <c r="B10" s="29" t="n">
        <f aca="false">INDEX(Config!$C$12:$C$31,A10)</f>
        <v>46279</v>
      </c>
      <c r="C10" s="9" t="s">
        <v>96</v>
      </c>
      <c r="D10" s="27" t="s">
        <v>68</v>
      </c>
      <c r="E10" s="27" t="s">
        <v>120</v>
      </c>
      <c r="F10" s="7" t="str">
        <f aca="false">C10&amp;"|"&amp;A10</f>
        <v>SCR-10|3</v>
      </c>
    </row>
    <row r="11" customFormat="false" ht="24.05" hidden="false" customHeight="false" outlineLevel="0" collapsed="false">
      <c r="A11" s="9" t="n">
        <v>4</v>
      </c>
      <c r="B11" s="29" t="n">
        <f aca="false">INDEX(Config!$C$12:$C$31,A11)</f>
        <v>46280</v>
      </c>
      <c r="C11" s="9" t="s">
        <v>102</v>
      </c>
      <c r="D11" s="27" t="s">
        <v>69</v>
      </c>
      <c r="E11" s="27" t="s">
        <v>121</v>
      </c>
      <c r="F11" s="7" t="str">
        <f aca="false">C11&amp;"|"&amp;A11</f>
        <v>SCR-13|4</v>
      </c>
    </row>
    <row r="12" customFormat="false" ht="15" hidden="false" customHeight="false" outlineLevel="0" collapsed="false">
      <c r="A12" s="9" t="n">
        <v>5</v>
      </c>
      <c r="B12" s="29" t="n">
        <f aca="false">INDEX(Config!$C$12:$C$31,A12)</f>
        <v>46281</v>
      </c>
      <c r="C12" s="9" t="s">
        <v>86</v>
      </c>
      <c r="D12" s="27" t="s">
        <v>70</v>
      </c>
      <c r="E12" s="27" t="s">
        <v>122</v>
      </c>
      <c r="F12" s="7" t="str">
        <f aca="false">C12&amp;"|"&amp;A12</f>
        <v>SCR-5|5</v>
      </c>
    </row>
    <row r="13" customFormat="false" ht="24.05" hidden="false" customHeight="false" outlineLevel="0" collapsed="false">
      <c r="A13" s="9" t="n">
        <v>6</v>
      </c>
      <c r="B13" s="29" t="n">
        <f aca="false">INDEX(Config!$C$12:$C$31,A13)</f>
        <v>46282</v>
      </c>
      <c r="C13" s="9" t="s">
        <v>86</v>
      </c>
      <c r="D13" s="27" t="s">
        <v>67</v>
      </c>
      <c r="E13" s="27" t="s">
        <v>123</v>
      </c>
      <c r="F13" s="7" t="str">
        <f aca="false">C13&amp;"|"&amp;A13</f>
        <v>SCR-5|6</v>
      </c>
    </row>
    <row r="14" customFormat="false" ht="15" hidden="false" customHeight="false" outlineLevel="0" collapsed="false">
      <c r="A14" s="9" t="n">
        <v>6</v>
      </c>
      <c r="B14" s="29" t="n">
        <f aca="false">INDEX(Config!$C$12:$C$31,A14)</f>
        <v>46282</v>
      </c>
      <c r="C14" s="9" t="s">
        <v>92</v>
      </c>
      <c r="D14" s="27" t="s">
        <v>68</v>
      </c>
      <c r="E14" s="27" t="s">
        <v>124</v>
      </c>
      <c r="F14" s="7" t="str">
        <f aca="false">C14&amp;"|"&amp;A14</f>
        <v>SCR-8|6</v>
      </c>
    </row>
    <row r="15" customFormat="false" ht="24.05" hidden="false" customHeight="false" outlineLevel="0" collapsed="false">
      <c r="A15" s="9" t="n">
        <v>7</v>
      </c>
      <c r="B15" s="29" t="n">
        <f aca="false">INDEX(Config!$C$12:$C$31,A15)</f>
        <v>46283</v>
      </c>
      <c r="C15" s="9" t="s">
        <v>92</v>
      </c>
      <c r="D15" s="27" t="s">
        <v>70</v>
      </c>
      <c r="E15" s="27" t="s">
        <v>125</v>
      </c>
      <c r="F15" s="7" t="str">
        <f aca="false">C15&amp;"|"&amp;A15</f>
        <v>SCR-8|7</v>
      </c>
    </row>
    <row r="16" customFormat="false" ht="15" hidden="false" customHeight="false" outlineLevel="0" collapsed="false">
      <c r="A16" s="9" t="n">
        <v>7</v>
      </c>
      <c r="B16" s="29" t="n">
        <f aca="false">INDEX(Config!$C$12:$C$31,A16)</f>
        <v>46283</v>
      </c>
      <c r="C16" s="9" t="s">
        <v>104</v>
      </c>
      <c r="D16" s="27" t="s">
        <v>67</v>
      </c>
      <c r="E16" s="27" t="s">
        <v>126</v>
      </c>
      <c r="F16" s="7" t="str">
        <f aca="false">C16&amp;"|"&amp;A16</f>
        <v>SCR-14|7</v>
      </c>
    </row>
    <row r="17" customFormat="false" ht="15" hidden="false" customHeight="false" outlineLevel="0" collapsed="false">
      <c r="A17" s="9" t="n">
        <v>8</v>
      </c>
      <c r="B17" s="29" t="n">
        <f aca="false">INDEX(Config!$C$12:$C$31,A17)</f>
        <v>46286</v>
      </c>
      <c r="C17" s="9" t="s">
        <v>86</v>
      </c>
      <c r="D17" s="27" t="s">
        <v>69</v>
      </c>
      <c r="E17" s="27" t="s">
        <v>127</v>
      </c>
      <c r="F17" s="7" t="str">
        <f aca="false">C17&amp;"|"&amp;A17</f>
        <v>SCR-5|8</v>
      </c>
    </row>
    <row r="18" customFormat="false" ht="15" hidden="false" customHeight="false" outlineLevel="0" collapsed="false">
      <c r="A18" s="9" t="n">
        <v>8</v>
      </c>
      <c r="B18" s="29" t="n">
        <f aca="false">INDEX(Config!$C$12:$C$31,A18)</f>
        <v>46286</v>
      </c>
      <c r="C18" s="9" t="s">
        <v>98</v>
      </c>
      <c r="D18" s="27" t="s">
        <v>67</v>
      </c>
      <c r="E18" s="27" t="s">
        <v>128</v>
      </c>
      <c r="F18" s="7" t="str">
        <f aca="false">C18&amp;"|"&amp;A18</f>
        <v>SCR-11|8</v>
      </c>
    </row>
    <row r="19" customFormat="false" ht="15" hidden="false" customHeight="false" outlineLevel="0" collapsed="false">
      <c r="A19" s="9" t="n">
        <v>10</v>
      </c>
      <c r="B19" s="29" t="n">
        <f aca="false">INDEX(Config!$C$12:$C$31,A19)</f>
        <v>46288</v>
      </c>
      <c r="C19" s="9" t="s">
        <v>88</v>
      </c>
      <c r="D19" s="27" t="s">
        <v>69</v>
      </c>
      <c r="E19" s="27" t="s">
        <v>129</v>
      </c>
      <c r="F19" s="7" t="str">
        <f aca="false">C19&amp;"|"&amp;A19</f>
        <v>SCR-6|10</v>
      </c>
    </row>
    <row r="20" customFormat="false" ht="15" hidden="false" customHeight="false" outlineLevel="0" collapsed="false">
      <c r="A20" s="9" t="n">
        <v>11</v>
      </c>
      <c r="B20" s="29" t="n">
        <f aca="false">INDEX(Config!$C$12:$C$31,A20)</f>
        <v>46289</v>
      </c>
      <c r="C20" s="9" t="s">
        <v>106</v>
      </c>
      <c r="D20" s="27" t="s">
        <v>69</v>
      </c>
      <c r="E20" s="27" t="s">
        <v>130</v>
      </c>
      <c r="F20" s="7" t="str">
        <f aca="false">C20&amp;"|"&amp;A20</f>
        <v>SCR-15|11</v>
      </c>
    </row>
    <row r="21" customFormat="false" ht="15" hidden="false" customHeight="false" outlineLevel="0" collapsed="false">
      <c r="A21" s="9" t="n">
        <v>11</v>
      </c>
      <c r="B21" s="29" t="n">
        <f aca="false">INDEX(Config!$C$12:$C$31,A21)</f>
        <v>46289</v>
      </c>
      <c r="C21" s="9" t="s">
        <v>88</v>
      </c>
      <c r="D21" s="27" t="s">
        <v>68</v>
      </c>
      <c r="E21" s="27" t="s">
        <v>131</v>
      </c>
      <c r="F21" s="7" t="str">
        <f aca="false">C21&amp;"|"&amp;A21</f>
        <v>SCR-6|11</v>
      </c>
    </row>
    <row r="22" customFormat="false" ht="15" hidden="false" customHeight="false" outlineLevel="0" collapsed="false">
      <c r="A22" s="9" t="n">
        <v>11</v>
      </c>
      <c r="B22" s="29" t="n">
        <f aca="false">INDEX(Config!$C$12:$C$31,A22)</f>
        <v>46289</v>
      </c>
      <c r="C22" s="9" t="s">
        <v>94</v>
      </c>
      <c r="D22" s="27" t="s">
        <v>70</v>
      </c>
      <c r="E22" s="27" t="s">
        <v>132</v>
      </c>
      <c r="F22" s="7" t="str">
        <f aca="false">C22&amp;"|"&amp;A22</f>
        <v>SCR-9|11</v>
      </c>
    </row>
    <row r="23" customFormat="false" ht="15" hidden="false" customHeight="false" outlineLevel="0" collapsed="false">
      <c r="A23" s="9" t="n">
        <v>11</v>
      </c>
      <c r="B23" s="29" t="n">
        <f aca="false">INDEX(Config!$C$12:$C$31,A23)</f>
        <v>46289</v>
      </c>
      <c r="C23" s="9" t="s">
        <v>100</v>
      </c>
      <c r="D23" s="27" t="s">
        <v>68</v>
      </c>
      <c r="E23" s="27" t="s">
        <v>133</v>
      </c>
      <c r="F23" s="7" t="str">
        <f aca="false">C23&amp;"|"&amp;A23</f>
        <v>SCR-12|11</v>
      </c>
    </row>
    <row r="24" customFormat="false" ht="15" hidden="false" customHeight="false" outlineLevel="0" collapsed="false">
      <c r="A24" s="9" t="n">
        <v>13</v>
      </c>
      <c r="B24" s="29" t="n">
        <f aca="false">INDEX(Config!$C$12:$C$31,A24)</f>
        <v>46293</v>
      </c>
      <c r="C24" s="9" t="s">
        <v>108</v>
      </c>
      <c r="D24" s="27" t="s">
        <v>67</v>
      </c>
      <c r="E24" s="27" t="s">
        <v>134</v>
      </c>
      <c r="F24" s="7" t="str">
        <f aca="false">C24&amp;"|"&amp;A24</f>
        <v>SCR-91|13</v>
      </c>
    </row>
    <row r="25" customFormat="false" ht="15" hidden="false" customHeight="false" outlineLevel="0" collapsed="false">
      <c r="A25" s="9"/>
      <c r="B25" s="29" t="str">
        <f aca="false">IF(A25="","",INDEX(Config!$C$12:$C$31,A25))</f>
        <v/>
      </c>
      <c r="C25" s="9"/>
      <c r="D25" s="27"/>
      <c r="E25" s="27"/>
      <c r="F25" s="7" t="str">
        <f aca="false">IF(A25="","",C25&amp;"|"&amp;A25)</f>
        <v/>
      </c>
    </row>
    <row r="26" customFormat="false" ht="15" hidden="false" customHeight="false" outlineLevel="0" collapsed="false">
      <c r="A26" s="9"/>
      <c r="B26" s="29" t="str">
        <f aca="false">IF(A26="","",INDEX(Config!$C$12:$C$31,A26))</f>
        <v/>
      </c>
      <c r="C26" s="9"/>
      <c r="D26" s="27"/>
      <c r="E26" s="27"/>
      <c r="F26" s="7" t="str">
        <f aca="false">IF(A26="","",C26&amp;"|"&amp;A26)</f>
        <v/>
      </c>
    </row>
    <row r="27" customFormat="false" ht="15" hidden="false" customHeight="false" outlineLevel="0" collapsed="false">
      <c r="A27" s="9"/>
      <c r="B27" s="29" t="str">
        <f aca="false">IF(A27="","",INDEX(Config!$C$12:$C$31,A27))</f>
        <v/>
      </c>
      <c r="C27" s="9"/>
      <c r="D27" s="27"/>
      <c r="E27" s="27"/>
      <c r="F27" s="7" t="str">
        <f aca="false">IF(A27="","",C27&amp;"|"&amp;A27)</f>
        <v/>
      </c>
    </row>
    <row r="28" customFormat="false" ht="15" hidden="false" customHeight="false" outlineLevel="0" collapsed="false">
      <c r="A28" s="9"/>
      <c r="B28" s="29" t="str">
        <f aca="false">IF(A28="","",INDEX(Config!$C$12:$C$31,A28))</f>
        <v/>
      </c>
      <c r="C28" s="9"/>
      <c r="D28" s="27"/>
      <c r="E28" s="27"/>
      <c r="F28" s="7" t="str">
        <f aca="false">IF(A28="","",C28&amp;"|"&amp;A28)</f>
        <v/>
      </c>
    </row>
    <row r="29" customFormat="false" ht="15" hidden="false" customHeight="false" outlineLevel="0" collapsed="false">
      <c r="A29" s="9"/>
      <c r="B29" s="29" t="str">
        <f aca="false">IF(A29="","",INDEX(Config!$C$12:$C$31,A29))</f>
        <v/>
      </c>
      <c r="C29" s="9"/>
      <c r="D29" s="27"/>
      <c r="E29" s="27"/>
      <c r="F29" s="7" t="str">
        <f aca="false">IF(A29="","",C29&amp;"|"&amp;A29)</f>
        <v/>
      </c>
    </row>
    <row r="30" customFormat="false" ht="15" hidden="false" customHeight="false" outlineLevel="0" collapsed="false">
      <c r="A30" s="9"/>
      <c r="B30" s="29" t="str">
        <f aca="false">IF(A30="","",INDEX(Config!$C$12:$C$31,A30))</f>
        <v/>
      </c>
      <c r="C30" s="9"/>
      <c r="D30" s="27"/>
      <c r="E30" s="27"/>
      <c r="F30" s="7" t="str">
        <f aca="false">IF(A30="","",C30&amp;"|"&amp;A30)</f>
        <v/>
      </c>
    </row>
    <row r="31" customFormat="false" ht="15" hidden="false" customHeight="false" outlineLevel="0" collapsed="false">
      <c r="A31" s="9"/>
      <c r="B31" s="29" t="str">
        <f aca="false">IF(A31="","",INDEX(Config!$C$12:$C$31,A31))</f>
        <v/>
      </c>
      <c r="C31" s="9"/>
      <c r="D31" s="27"/>
      <c r="E31" s="27"/>
      <c r="F31" s="7" t="str">
        <f aca="false">IF(A31="","",C31&amp;"|"&amp;A31)</f>
        <v/>
      </c>
    </row>
    <row r="32" customFormat="false" ht="15" hidden="false" customHeight="false" outlineLevel="0" collapsed="false">
      <c r="A32" s="9"/>
      <c r="B32" s="29" t="str">
        <f aca="false">IF(A32="","",INDEX(Config!$C$12:$C$31,A32))</f>
        <v/>
      </c>
      <c r="C32" s="9"/>
      <c r="D32" s="27"/>
      <c r="E32" s="27"/>
      <c r="F32" s="7" t="str">
        <f aca="false">IF(A32="","",C32&amp;"|"&amp;A32)</f>
        <v/>
      </c>
    </row>
    <row r="33" customFormat="false" ht="15" hidden="false" customHeight="false" outlineLevel="0" collapsed="false">
      <c r="A33" s="9"/>
      <c r="B33" s="29" t="str">
        <f aca="false">IF(A33="","",INDEX(Config!$C$12:$C$31,A33))</f>
        <v/>
      </c>
      <c r="C33" s="9"/>
      <c r="D33" s="27"/>
      <c r="E33" s="27"/>
      <c r="F33" s="7" t="str">
        <f aca="false">IF(A33="","",C33&amp;"|"&amp;A33)</f>
        <v/>
      </c>
    </row>
    <row r="34" customFormat="false" ht="15" hidden="false" customHeight="false" outlineLevel="0" collapsed="false">
      <c r="A34" s="9"/>
      <c r="B34" s="29" t="str">
        <f aca="false">IF(A34="","",INDEX(Config!$C$12:$C$31,A34))</f>
        <v/>
      </c>
      <c r="C34" s="9"/>
      <c r="D34" s="27"/>
      <c r="E34" s="27"/>
      <c r="F34" s="7" t="str">
        <f aca="false">IF(A34="","",C34&amp;"|"&amp;A34)</f>
        <v/>
      </c>
    </row>
    <row r="35" customFormat="false" ht="15" hidden="false" customHeight="false" outlineLevel="0" collapsed="false">
      <c r="A35" s="9"/>
      <c r="B35" s="29" t="str">
        <f aca="false">IF(A35="","",INDEX(Config!$C$12:$C$31,A35))</f>
        <v/>
      </c>
      <c r="C35" s="9"/>
      <c r="D35" s="27"/>
      <c r="E35" s="27"/>
      <c r="F35" s="7" t="str">
        <f aca="false">IF(A35="","",C35&amp;"|"&amp;A35)</f>
        <v/>
      </c>
    </row>
    <row r="36" customFormat="false" ht="15" hidden="false" customHeight="false" outlineLevel="0" collapsed="false">
      <c r="A36" s="9"/>
      <c r="B36" s="29" t="str">
        <f aca="false">IF(A36="","",INDEX(Config!$C$12:$C$31,A36))</f>
        <v/>
      </c>
      <c r="C36" s="9"/>
      <c r="D36" s="27"/>
      <c r="E36" s="27"/>
      <c r="F36" s="7" t="str">
        <f aca="false">IF(A36="","",C36&amp;"|"&amp;A36)</f>
        <v/>
      </c>
    </row>
    <row r="37" customFormat="false" ht="15" hidden="false" customHeight="false" outlineLevel="0" collapsed="false">
      <c r="A37" s="9"/>
      <c r="B37" s="29" t="str">
        <f aca="false">IF(A37="","",INDEX(Config!$C$12:$C$31,A37))</f>
        <v/>
      </c>
      <c r="C37" s="9"/>
      <c r="D37" s="27"/>
      <c r="E37" s="27"/>
      <c r="F37" s="7" t="str">
        <f aca="false">IF(A37="","",C37&amp;"|"&amp;A37)</f>
        <v/>
      </c>
    </row>
    <row r="38" customFormat="false" ht="15" hidden="false" customHeight="false" outlineLevel="0" collapsed="false">
      <c r="A38" s="9"/>
      <c r="B38" s="29" t="str">
        <f aca="false">IF(A38="","",INDEX(Config!$C$12:$C$31,A38))</f>
        <v/>
      </c>
      <c r="C38" s="9"/>
      <c r="D38" s="27"/>
      <c r="E38" s="27"/>
      <c r="F38" s="7" t="str">
        <f aca="false">IF(A38="","",C38&amp;"|"&amp;A38)</f>
        <v/>
      </c>
    </row>
    <row r="39" customFormat="false" ht="15" hidden="false" customHeight="false" outlineLevel="0" collapsed="false">
      <c r="A39" s="9"/>
      <c r="B39" s="29" t="str">
        <f aca="false">IF(A39="","",INDEX(Config!$C$12:$C$31,A39))</f>
        <v/>
      </c>
      <c r="C39" s="9"/>
      <c r="D39" s="27"/>
      <c r="E39" s="27"/>
      <c r="F39" s="7" t="str">
        <f aca="false">IF(A39="","",C39&amp;"|"&amp;A39)</f>
        <v/>
      </c>
    </row>
    <row r="40" customFormat="false" ht="15" hidden="false" customHeight="false" outlineLevel="0" collapsed="false">
      <c r="A40" s="9"/>
      <c r="B40" s="29" t="str">
        <f aca="false">IF(A40="","",INDEX(Config!$C$12:$C$31,A40))</f>
        <v/>
      </c>
      <c r="C40" s="9"/>
      <c r="D40" s="27"/>
      <c r="E40" s="27"/>
      <c r="F40" s="7" t="str">
        <f aca="false">IF(A40="","",C40&amp;"|"&amp;A40)</f>
        <v/>
      </c>
    </row>
    <row r="41" customFormat="false" ht="15" hidden="false" customHeight="false" outlineLevel="0" collapsed="false">
      <c r="A41" s="9"/>
      <c r="B41" s="29" t="str">
        <f aca="false">IF(A41="","",INDEX(Config!$C$12:$C$31,A41))</f>
        <v/>
      </c>
      <c r="C41" s="9"/>
      <c r="D41" s="27"/>
      <c r="E41" s="27"/>
      <c r="F41" s="7" t="str">
        <f aca="false">IF(A41="","",C41&amp;"|"&amp;A41)</f>
        <v/>
      </c>
    </row>
    <row r="42" customFormat="false" ht="15" hidden="false" customHeight="false" outlineLevel="0" collapsed="false">
      <c r="A42" s="9"/>
      <c r="B42" s="29" t="str">
        <f aca="false">IF(A42="","",INDEX(Config!$C$12:$C$31,A42))</f>
        <v/>
      </c>
      <c r="C42" s="9"/>
      <c r="D42" s="27"/>
      <c r="E42" s="27"/>
      <c r="F42" s="7" t="str">
        <f aca="false">IF(A42="","",C42&amp;"|"&amp;A42)</f>
        <v/>
      </c>
    </row>
    <row r="43" customFormat="false" ht="15" hidden="false" customHeight="false" outlineLevel="0" collapsed="false">
      <c r="A43" s="9"/>
      <c r="B43" s="29" t="str">
        <f aca="false">IF(A43="","",INDEX(Config!$C$12:$C$31,A43))</f>
        <v/>
      </c>
      <c r="C43" s="9"/>
      <c r="D43" s="27"/>
      <c r="E43" s="27"/>
      <c r="F43" s="7" t="str">
        <f aca="false">IF(A43="","",C43&amp;"|"&amp;A43)</f>
        <v/>
      </c>
    </row>
    <row r="44" customFormat="false" ht="15" hidden="false" customHeight="false" outlineLevel="0" collapsed="false">
      <c r="A44" s="9"/>
      <c r="B44" s="29" t="str">
        <f aca="false">IF(A44="","",INDEX(Config!$C$12:$C$31,A44))</f>
        <v/>
      </c>
      <c r="C44" s="9"/>
      <c r="D44" s="27"/>
      <c r="E44" s="27"/>
      <c r="F44" s="7" t="str">
        <f aca="false">IF(A44="","",C44&amp;"|"&amp;A44)</f>
        <v/>
      </c>
    </row>
    <row r="45" customFormat="false" ht="15" hidden="false" customHeight="false" outlineLevel="0" collapsed="false">
      <c r="A45" s="9"/>
      <c r="B45" s="29" t="str">
        <f aca="false">IF(A45="","",INDEX(Config!$C$12:$C$31,A45))</f>
        <v/>
      </c>
      <c r="C45" s="9"/>
      <c r="D45" s="27"/>
      <c r="E45" s="27"/>
      <c r="F45" s="7" t="str">
        <f aca="false">IF(A45="","",C45&amp;"|"&amp;A45)</f>
        <v/>
      </c>
    </row>
    <row r="46" customFormat="false" ht="15" hidden="false" customHeight="false" outlineLevel="0" collapsed="false">
      <c r="A46" s="9"/>
      <c r="B46" s="29" t="str">
        <f aca="false">IF(A46="","",INDEX(Config!$C$12:$C$31,A46))</f>
        <v/>
      </c>
      <c r="C46" s="9"/>
      <c r="D46" s="27"/>
      <c r="E46" s="27"/>
      <c r="F46" s="7" t="str">
        <f aca="false">IF(A46="","",C46&amp;"|"&amp;A46)</f>
        <v/>
      </c>
    </row>
    <row r="47" customFormat="false" ht="15" hidden="false" customHeight="false" outlineLevel="0" collapsed="false">
      <c r="A47" s="9"/>
      <c r="B47" s="29" t="str">
        <f aca="false">IF(A47="","",INDEX(Config!$C$12:$C$31,A47))</f>
        <v/>
      </c>
      <c r="C47" s="9"/>
      <c r="D47" s="27"/>
      <c r="E47" s="27"/>
      <c r="F47" s="7" t="str">
        <f aca="false">IF(A47="","",C47&amp;"|"&amp;A47)</f>
        <v/>
      </c>
    </row>
    <row r="48" customFormat="false" ht="15" hidden="false" customHeight="false" outlineLevel="0" collapsed="false">
      <c r="A48" s="9"/>
      <c r="B48" s="29" t="str">
        <f aca="false">IF(A48="","",INDEX(Config!$C$12:$C$31,A48))</f>
        <v/>
      </c>
      <c r="C48" s="9"/>
      <c r="D48" s="27"/>
      <c r="E48" s="27"/>
      <c r="F48" s="7" t="str">
        <f aca="false">IF(A48="","",C48&amp;"|"&amp;A48)</f>
        <v/>
      </c>
    </row>
    <row r="49" customFormat="false" ht="15" hidden="false" customHeight="false" outlineLevel="0" collapsed="false">
      <c r="A49" s="9"/>
      <c r="B49" s="29" t="str">
        <f aca="false">IF(A49="","",INDEX(Config!$C$12:$C$31,A49))</f>
        <v/>
      </c>
      <c r="C49" s="9"/>
      <c r="D49" s="27"/>
      <c r="E49" s="27"/>
      <c r="F49" s="7" t="str">
        <f aca="false">IF(A49="","",C49&amp;"|"&amp;A49)</f>
        <v/>
      </c>
    </row>
    <row r="50" customFormat="false" ht="15" hidden="false" customHeight="false" outlineLevel="0" collapsed="false">
      <c r="A50" s="9"/>
      <c r="B50" s="29" t="str">
        <f aca="false">IF(A50="","",INDEX(Config!$C$12:$C$31,A50))</f>
        <v/>
      </c>
      <c r="C50" s="9"/>
      <c r="D50" s="27"/>
      <c r="E50" s="27"/>
      <c r="F50" s="7" t="str">
        <f aca="false">IF(A50="","",C50&amp;"|"&amp;A50)</f>
        <v/>
      </c>
    </row>
    <row r="51" customFormat="false" ht="15" hidden="false" customHeight="false" outlineLevel="0" collapsed="false">
      <c r="A51" s="9"/>
      <c r="B51" s="29" t="str">
        <f aca="false">IF(A51="","",INDEX(Config!$C$12:$C$31,A51))</f>
        <v/>
      </c>
      <c r="C51" s="9"/>
      <c r="D51" s="27"/>
      <c r="E51" s="27"/>
      <c r="F51" s="7" t="str">
        <f aca="false">IF(A51="","",C51&amp;"|"&amp;A51)</f>
        <v/>
      </c>
    </row>
    <row r="52" customFormat="false" ht="15" hidden="false" customHeight="false" outlineLevel="0" collapsed="false">
      <c r="A52" s="9"/>
      <c r="B52" s="29" t="str">
        <f aca="false">IF(A52="","",INDEX(Config!$C$12:$C$31,A52))</f>
        <v/>
      </c>
      <c r="C52" s="9"/>
      <c r="D52" s="27"/>
      <c r="E52" s="27"/>
      <c r="F52" s="7" t="str">
        <f aca="false">IF(A52="","",C52&amp;"|"&amp;A52)</f>
        <v/>
      </c>
    </row>
    <row r="53" customFormat="false" ht="15" hidden="false" customHeight="false" outlineLevel="0" collapsed="false">
      <c r="A53" s="9"/>
      <c r="B53" s="29" t="str">
        <f aca="false">IF(A53="","",INDEX(Config!$C$12:$C$31,A53))</f>
        <v/>
      </c>
      <c r="C53" s="9"/>
      <c r="D53" s="27"/>
      <c r="E53" s="27"/>
      <c r="F53" s="7" t="str">
        <f aca="false">IF(A53="","",C53&amp;"|"&amp;A53)</f>
        <v/>
      </c>
    </row>
    <row r="54" customFormat="false" ht="15" hidden="false" customHeight="false" outlineLevel="0" collapsed="false">
      <c r="A54" s="9"/>
      <c r="B54" s="29" t="str">
        <f aca="false">IF(A54="","",INDEX(Config!$C$12:$C$31,A54))</f>
        <v/>
      </c>
      <c r="C54" s="9"/>
      <c r="D54" s="27"/>
      <c r="E54" s="27"/>
      <c r="F54" s="7" t="str">
        <f aca="false">IF(A54="","",C54&amp;"|"&amp;A54)</f>
        <v/>
      </c>
    </row>
    <row r="55" customFormat="false" ht="15" hidden="false" customHeight="false" outlineLevel="0" collapsed="false">
      <c r="A55" s="9"/>
      <c r="B55" s="29" t="str">
        <f aca="false">IF(A55="","",INDEX(Config!$C$12:$C$31,A55))</f>
        <v/>
      </c>
      <c r="C55" s="9"/>
      <c r="D55" s="27"/>
      <c r="E55" s="27"/>
      <c r="F55" s="7" t="str">
        <f aca="false">IF(A55="","",C55&amp;"|"&amp;A55)</f>
        <v/>
      </c>
    </row>
    <row r="56" customFormat="false" ht="15" hidden="false" customHeight="false" outlineLevel="0" collapsed="false">
      <c r="A56" s="9"/>
      <c r="B56" s="29" t="str">
        <f aca="false">IF(A56="","",INDEX(Config!$C$12:$C$31,A56))</f>
        <v/>
      </c>
      <c r="C56" s="9"/>
      <c r="D56" s="27"/>
      <c r="E56" s="27"/>
      <c r="F56" s="7" t="str">
        <f aca="false">IF(A56="","",C56&amp;"|"&amp;A56)</f>
        <v/>
      </c>
    </row>
    <row r="57" customFormat="false" ht="15" hidden="false" customHeight="false" outlineLevel="0" collapsed="false">
      <c r="A57" s="9"/>
      <c r="B57" s="29" t="str">
        <f aca="false">IF(A57="","",INDEX(Config!$C$12:$C$31,A57))</f>
        <v/>
      </c>
      <c r="C57" s="9"/>
      <c r="D57" s="27"/>
      <c r="E57" s="27"/>
      <c r="F57" s="7" t="str">
        <f aca="false">IF(A57="","",C57&amp;"|"&amp;A57)</f>
        <v/>
      </c>
    </row>
    <row r="58" customFormat="false" ht="15" hidden="false" customHeight="false" outlineLevel="0" collapsed="false">
      <c r="A58" s="9"/>
      <c r="B58" s="29" t="str">
        <f aca="false">IF(A58="","",INDEX(Config!$C$12:$C$31,A58))</f>
        <v/>
      </c>
      <c r="C58" s="9"/>
      <c r="D58" s="27"/>
      <c r="E58" s="27"/>
      <c r="F58" s="7" t="str">
        <f aca="false">IF(A58="","",C58&amp;"|"&amp;A58)</f>
        <v/>
      </c>
    </row>
    <row r="59" customFormat="false" ht="15" hidden="false" customHeight="false" outlineLevel="0" collapsed="false">
      <c r="A59" s="9"/>
      <c r="B59" s="29" t="str">
        <f aca="false">IF(A59="","",INDEX(Config!$C$12:$C$31,A59))</f>
        <v/>
      </c>
      <c r="C59" s="9"/>
      <c r="D59" s="27"/>
      <c r="E59" s="27"/>
      <c r="F59" s="7" t="str">
        <f aca="false">IF(A59="","",C59&amp;"|"&amp;A59)</f>
        <v/>
      </c>
    </row>
    <row r="60" customFormat="false" ht="15" hidden="false" customHeight="false" outlineLevel="0" collapsed="false">
      <c r="A60" s="9"/>
      <c r="B60" s="29" t="str">
        <f aca="false">IF(A60="","",INDEX(Config!$C$12:$C$31,A60))</f>
        <v/>
      </c>
      <c r="C60" s="9"/>
      <c r="D60" s="27"/>
      <c r="E60" s="27"/>
      <c r="F60" s="7" t="str">
        <f aca="false">IF(A60="","",C60&amp;"|"&amp;A60)</f>
        <v/>
      </c>
    </row>
  </sheetData>
  <dataValidations count="1">
    <dataValidation allowBlank="true" errorStyle="stop" operator="between" showDropDown="false" showErrorMessage="false" showInputMessage="false" sqref="D5:D60" type="list">
      <formula1>Config!$A$18:$A$21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LibreOffice/26.8.0.3$Windows_X86_64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2026-09-29T23:44:35Z</dcterms:created>
  <dc:creator>openpyxl</dc:creator>
  <dc:description/>
  <dc:language>es-CO</dc:language>
  <cp:lastModifiedBy/>
  <dcterms:modified xsi:type="dcterms:W3CDTF">2026-09-29T23:44:35Z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