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4d670249c80197e/Documents/PESTEL/"/>
    </mc:Choice>
  </mc:AlternateContent>
  <xr:revisionPtr revIDLastSave="7" documentId="11_D18A2B3009FA4D9BEDF599FF0A8F7988A90F0EF5" xr6:coauthVersionLast="47" xr6:coauthVersionMax="47" xr10:uidLastSave="{0DDBBDEC-E657-4868-88E8-DB59CEB17722}"/>
  <bookViews>
    <workbookView xWindow="1524" yWindow="1464" windowWidth="17280" windowHeight="9420" xr2:uid="{00000000-000D-0000-FFFF-FFFF00000000}"/>
  </bookViews>
  <sheets>
    <sheet name="Hoja2" sheetId="1" r:id="rId1"/>
    <sheet name="Hoja3" sheetId="2" r:id="rId2"/>
    <sheet name="Hoja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1" l="1"/>
  <c r="G18" i="2"/>
  <c r="G15" i="2"/>
  <c r="G12" i="2"/>
  <c r="G9" i="2"/>
  <c r="G6" i="2"/>
  <c r="G3" i="2"/>
  <c r="I24" i="1"/>
  <c r="I23" i="1"/>
  <c r="I22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25" i="1" l="1"/>
</calcChain>
</file>

<file path=xl/sharedStrings.xml><?xml version="1.0" encoding="utf-8"?>
<sst xmlns="http://schemas.openxmlformats.org/spreadsheetml/2006/main" count="162" uniqueCount="94">
  <si>
    <t>IMPACTO</t>
  </si>
  <si>
    <t>DURACION</t>
  </si>
  <si>
    <t>TOTAL</t>
  </si>
  <si>
    <t>OPORTUNIDAD</t>
  </si>
  <si>
    <t>AMENAZA</t>
  </si>
  <si>
    <t>CRITERIO</t>
  </si>
  <si>
    <t>SIM</t>
  </si>
  <si>
    <t>DESCRIPCION</t>
  </si>
  <si>
    <t>Alto = 3 pto</t>
  </si>
  <si>
    <t>&gt;6 mes = 3 pto</t>
  </si>
  <si>
    <t>Medio = 2 pto</t>
  </si>
  <si>
    <t>&gt;1 mes = 2 pto</t>
  </si>
  <si>
    <t>Marcar con una X</t>
  </si>
  <si>
    <t>Bajo = 1 pto</t>
  </si>
  <si>
    <t>&lt;1 mes = 1 pto</t>
  </si>
  <si>
    <t>P</t>
  </si>
  <si>
    <t>POLITICO</t>
  </si>
  <si>
    <t>P1</t>
  </si>
  <si>
    <t>Estabilidad política y social en Colombia para eventos presenciales seguros</t>
  </si>
  <si>
    <t>X</t>
  </si>
  <si>
    <t>P2</t>
  </si>
  <si>
    <t>Regulación digital gubernamental sobre privacidad biométrica de usuarios</t>
  </si>
  <si>
    <t>P3</t>
  </si>
  <si>
    <t>Apoyo estatal a emprendimientos digitales y startups en el país</t>
  </si>
  <si>
    <t>E</t>
  </si>
  <si>
    <t>ECONOMICO</t>
  </si>
  <si>
    <t>E1</t>
  </si>
  <si>
    <t>Poder adquisitivo limitado de jóvenes para pagar eventos y actividades</t>
  </si>
  <si>
    <t>E2</t>
  </si>
  <si>
    <t>Crecimiento masivo post-COVID del sector entretenimiento, ocio y experiencias</t>
  </si>
  <si>
    <t>E3</t>
  </si>
  <si>
    <t>Disponibilidad de pasarelas de pago locales colombianas (Wompi, PayU, Nequi, Daviplata)</t>
  </si>
  <si>
    <t>S</t>
  </si>
  <si>
    <t>SOCIAL</t>
  </si>
  <si>
    <t>S1</t>
  </si>
  <si>
    <t>Urbanización acelerada y crecimiento de aislamiento social en grandes ciudades</t>
  </si>
  <si>
    <t>S2</t>
  </si>
  <si>
    <t>Adopción masiva de plataformas digitales sociales por Gen Z y Millennials</t>
  </si>
  <si>
    <t>S3</t>
  </si>
  <si>
    <t>Preocupaciones de seguridad y confianza en encuentros presenciales con desconocidos</t>
  </si>
  <si>
    <t>T</t>
  </si>
  <si>
    <t>TECNOLOGICO</t>
  </si>
  <si>
    <t>T1</t>
  </si>
  <si>
    <t>Penetración de internet móvil y smartphones en toda Colombia</t>
  </si>
  <si>
    <t>T2</t>
  </si>
  <si>
    <t>Madurez de tecnologías biométricas y facial recognition en América Latina</t>
  </si>
  <si>
    <t>T3</t>
  </si>
  <si>
    <t>Disponibilidad de APIs de geolocalización y mapas en tiempo real</t>
  </si>
  <si>
    <t>ECOLOGICO</t>
  </si>
  <si>
    <t>EC1</t>
  </si>
  <si>
    <t>Sostenibilidad ambiental de eventos presenciales y movilidad urbana</t>
  </si>
  <si>
    <t>EC2</t>
  </si>
  <si>
    <t>Huella de carbono digital de servidores y procesamiento de datos en la nube</t>
  </si>
  <si>
    <t>L</t>
  </si>
  <si>
    <t>LEGAL</t>
  </si>
  <si>
    <t>L1</t>
  </si>
  <si>
    <t>Cumplimiento de Habeas Data para protección de datos biométricos de usuarios</t>
  </si>
  <si>
    <t>L2</t>
  </si>
  <si>
    <t>Responsabilidad civil por incidentes o conflictos en encuentros presenciales</t>
  </si>
  <si>
    <t>L3</t>
  </si>
  <si>
    <t>Regulación de transacciones digitales y protección de derechos del consumidor</t>
  </si>
  <si>
    <t>Decretos supremos (Aumento de los aranceles)</t>
  </si>
  <si>
    <t>http://www.fao.org/3/j7507s/j7507s10.htm</t>
  </si>
  <si>
    <t>EC3</t>
  </si>
  <si>
    <t>Disponibilidad de pasarelas de pago locales colombianas (Wompi, PayU, Nequi)</t>
  </si>
  <si>
    <t>Urbanización acelerada y aislamiento social en grandes ciudades</t>
  </si>
  <si>
    <t>Adopción masiva de plataformas digitales por Gen Z y Millennials</t>
  </si>
  <si>
    <t>Preocupaciones de seguridad en encuentros presenciales con desconocidos</t>
  </si>
  <si>
    <t>Penetración de internet móvil y smartphones en Colombia</t>
  </si>
  <si>
    <t>Madurez de tecnologías biométricas y facial recognition en Latam</t>
  </si>
  <si>
    <t>Huella de carbono digital de servidores y procesamiento de datos</t>
  </si>
  <si>
    <t xml:space="preserve">Amenazas por medio de la pandemia COVID 19 en el ambiente </t>
  </si>
  <si>
    <t>Cumplimiento de Habeas Data para protección de datos biométricos</t>
  </si>
  <si>
    <t>Responsabilidad civil por incidentes en encuentros presenciales</t>
  </si>
  <si>
    <t>Regulación de transacciones digitales y protección del consumidor</t>
  </si>
  <si>
    <t>https://www.funcionpublica.gov.co/eva/gestornormativo/norma.php?i=39430</t>
  </si>
  <si>
    <t>https://transparenciacolombia.org.co/monitor-ciudadano/</t>
  </si>
  <si>
    <t>L4</t>
  </si>
  <si>
    <t>https://innpulsacolombia.com/](https://innpulsacolombia.com/</t>
  </si>
  <si>
    <t>https://www.sic.gov.co/proteccion-al-consumidor</t>
  </si>
  <si>
    <t>https://www.csj.gov.co/</t>
  </si>
  <si>
    <t>https://www.dian.gov.co/</t>
  </si>
  <si>
    <t>https://www.alcaldiabogota.gov.co/sisjur/normas/Norma1.jsp?i=4125#:~:text=Mediante%20el%20Decreto%201785%20de,Colombia%20para%20el%20a%C3%B1o%202021.</t>
  </si>
  <si>
    <t>https://www.mincit.gov.co/</t>
  </si>
  <si>
    <t>https://aws.amazon.com/es/sustainability/</t>
  </si>
  <si>
    <t>https://www.minambiente.gov.co/](https://www.minambiente.gov.co/</t>
  </si>
  <si>
    <t>https://www.cepal.org/es](https://www.cepal.org/es</t>
  </si>
  <si>
    <t>https://developers.google.com/maps/documentation/geolocation/overview?hl=es-419ps</t>
  </si>
  <si>
    <t>https://www.mintic.gov.co/](https://www.mintic.gov.co/</t>
  </si>
  <si>
    <t>https://www.mininterior.gov.co/](https://www.mininterior.gov.co/</t>
  </si>
  <si>
    <t>https://www.mintic.gov.co/portal/765/w3-propertyname-4158.html</t>
  </si>
  <si>
    <t>https://www.dane.gov.co/index.php/estadisticas-por-tema/demografia-y-poblacion</t>
  </si>
  <si>
    <t>https://www.superfinanciera.gov.co/</t>
  </si>
  <si>
    <t>https://www.larepublica.co/economia/repunte-del-sector-entretenimiento-y-turismo-en-colombia](https://www.larepublica.co/economia/repunte-del-sector-entretenimiento-y-turismo-en-colombia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</si>
</sst>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2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1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5" borderId="1" xfId="0" applyFill="1" applyBorder="1" applyAlignment="1">
      <alignment wrapText="1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6" fillId="0" borderId="0" xfId="1"/>
    <xf numFmtId="0" fontId="0" fillId="6" borderId="1" xfId="0" applyFill="1" applyBorder="1" applyAlignment="1">
      <alignment wrapText="1"/>
    </xf>
    <xf numFmtId="0" fontId="1" fillId="8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POLITICO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Hoja3!$E$3</c:f>
              <c:strCache>
                <c:ptCount val="1"/>
                <c:pt idx="0">
                  <c:v>Estabilidad política y social en Colombia para eventos presenciales seguros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Hoja3!$F$3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6-4A74-AE30-47E9409EB59E}"/>
            </c:ext>
          </c:extLst>
        </c:ser>
        <c:ser>
          <c:idx val="1"/>
          <c:order val="1"/>
          <c:tx>
            <c:strRef>
              <c:f>Hoja3!$E$4</c:f>
              <c:strCache>
                <c:ptCount val="1"/>
                <c:pt idx="0">
                  <c:v>Regulación digital gubernamental sobre privacidad biométrica de usuarios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Hoja3!$F$4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86-4A74-AE30-47E9409EB59E}"/>
            </c:ext>
          </c:extLst>
        </c:ser>
        <c:ser>
          <c:idx val="2"/>
          <c:order val="2"/>
          <c:tx>
            <c:strRef>
              <c:f>Hoja3!$E$5</c:f>
              <c:strCache>
                <c:ptCount val="1"/>
                <c:pt idx="0">
                  <c:v>Apoyo estatal a emprendimientos digitales y startups en el país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Hoja3!$F$5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86-4A74-AE30-47E9409EB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1993967"/>
        <c:axId val="811994383"/>
      </c:barChart>
      <c:catAx>
        <c:axId val="811993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1994383"/>
        <c:crosses val="autoZero"/>
        <c:auto val="1"/>
        <c:lblAlgn val="ctr"/>
        <c:lblOffset val="100"/>
        <c:noMultiLvlLbl val="0"/>
      </c:catAx>
      <c:valAx>
        <c:axId val="81199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19939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ECONOMICO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Hoja3!$E$6</c:f>
              <c:strCache>
                <c:ptCount val="1"/>
                <c:pt idx="0">
                  <c:v>Poder adquisitivo limitado de jóvenes para pagar eventos y actividades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Hoja3!$F$6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5-4F26-9A12-A7964C581FD4}"/>
            </c:ext>
          </c:extLst>
        </c:ser>
        <c:ser>
          <c:idx val="1"/>
          <c:order val="1"/>
          <c:tx>
            <c:strRef>
              <c:f>Hoja3!$E$7</c:f>
              <c:strCache>
                <c:ptCount val="1"/>
                <c:pt idx="0">
                  <c:v>Crecimiento masivo post-COVID del sector entretenimiento, ocio y experiencias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Hoja3!$F$7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5-4F26-9A12-A7964C581FD4}"/>
            </c:ext>
          </c:extLst>
        </c:ser>
        <c:ser>
          <c:idx val="2"/>
          <c:order val="2"/>
          <c:tx>
            <c:strRef>
              <c:f>Hoja3!$E$8</c:f>
              <c:strCache>
                <c:ptCount val="1"/>
                <c:pt idx="0">
                  <c:v>Disponibilidad de pasarelas de pago locales colombianas (Wompi, PayU, Nequi)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Hoja3!$F$8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5-4F26-9A12-A7964C581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7290703"/>
        <c:axId val="807297775"/>
      </c:barChart>
      <c:catAx>
        <c:axId val="807290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7297775"/>
        <c:crosses val="autoZero"/>
        <c:auto val="1"/>
        <c:lblAlgn val="ctr"/>
        <c:lblOffset val="100"/>
        <c:noMultiLvlLbl val="0"/>
      </c:catAx>
      <c:valAx>
        <c:axId val="80729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729070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SOCIAL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Hoja3!$E$9</c:f>
              <c:strCache>
                <c:ptCount val="1"/>
                <c:pt idx="0">
                  <c:v>Urbanización acelerada y aislamiento social en grandes ciudades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Hoja3!$F$9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2-4496-9803-244859E8307A}"/>
            </c:ext>
          </c:extLst>
        </c:ser>
        <c:ser>
          <c:idx val="1"/>
          <c:order val="1"/>
          <c:tx>
            <c:strRef>
              <c:f>Hoja3!$E$10</c:f>
              <c:strCache>
                <c:ptCount val="1"/>
                <c:pt idx="0">
                  <c:v>Adopción masiva de plataformas digitales por Gen Z y Millennials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Hoja3!$F$10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D2-4496-9803-244859E8307A}"/>
            </c:ext>
          </c:extLst>
        </c:ser>
        <c:ser>
          <c:idx val="2"/>
          <c:order val="2"/>
          <c:tx>
            <c:strRef>
              <c:f>Hoja3!$E$11</c:f>
              <c:strCache>
                <c:ptCount val="1"/>
                <c:pt idx="0">
                  <c:v>Preocupaciones de seguridad en encuentros presenciales con desconocidos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Hoja3!$F$11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D2-4496-9803-244859E83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0739407"/>
        <c:axId val="490739823"/>
      </c:barChart>
      <c:catAx>
        <c:axId val="490739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0739823"/>
        <c:crosses val="autoZero"/>
        <c:auto val="1"/>
        <c:lblAlgn val="ctr"/>
        <c:lblOffset val="100"/>
        <c:noMultiLvlLbl val="0"/>
      </c:catAx>
      <c:valAx>
        <c:axId val="49073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073940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TECNOLOGICO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Hoja3!$E$12</c:f>
              <c:strCache>
                <c:ptCount val="1"/>
                <c:pt idx="0">
                  <c:v>Penetración de internet móvil y smartphones en Colombia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Hoja3!$F$12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C-4698-918E-E1EE1DDC807F}"/>
            </c:ext>
          </c:extLst>
        </c:ser>
        <c:ser>
          <c:idx val="1"/>
          <c:order val="1"/>
          <c:tx>
            <c:strRef>
              <c:f>Hoja3!$E$13</c:f>
              <c:strCache>
                <c:ptCount val="1"/>
                <c:pt idx="0">
                  <c:v>Madurez de tecnologías biométricas y facial recognition en Latam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Hoja3!$F$13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EC-4698-918E-E1EE1DDC807F}"/>
            </c:ext>
          </c:extLst>
        </c:ser>
        <c:ser>
          <c:idx val="2"/>
          <c:order val="2"/>
          <c:tx>
            <c:strRef>
              <c:f>Hoja3!$E$14</c:f>
              <c:strCache>
                <c:ptCount val="1"/>
                <c:pt idx="0">
                  <c:v>Disponibilidad de APIs de geolocalización y mapas en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Hoja3!$F$14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EC-4698-918E-E1EE1DDC8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0848191"/>
        <c:axId val="980846527"/>
      </c:barChart>
      <c:catAx>
        <c:axId val="980848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0846527"/>
        <c:crosses val="autoZero"/>
        <c:auto val="1"/>
        <c:lblAlgn val="ctr"/>
        <c:lblOffset val="100"/>
        <c:noMultiLvlLbl val="0"/>
      </c:catAx>
      <c:valAx>
        <c:axId val="98084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084819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ECOLOGICO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Hoja3!$E$15</c:f>
              <c:strCache>
                <c:ptCount val="1"/>
                <c:pt idx="0">
                  <c:v>Sostenibilidad ambiental de eventos presenciales y movilidad urbana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Hoja3!$F$15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9-417A-AD30-C50082DD5A33}"/>
            </c:ext>
          </c:extLst>
        </c:ser>
        <c:ser>
          <c:idx val="1"/>
          <c:order val="1"/>
          <c:tx>
            <c:strRef>
              <c:f>Hoja3!$E$16</c:f>
              <c:strCache>
                <c:ptCount val="1"/>
                <c:pt idx="0">
                  <c:v>Huella de carbono digital de servidores y procesamiento de datos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Hoja3!$F$16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29-417A-AD30-C50082DD5A33}"/>
            </c:ext>
          </c:extLst>
        </c:ser>
        <c:ser>
          <c:idx val="2"/>
          <c:order val="2"/>
          <c:tx>
            <c:strRef>
              <c:f>Hoja3!$E$17</c:f>
              <c:strCache>
                <c:ptCount val="1"/>
                <c:pt idx="0">
                  <c:v>Amenazas por medio de la pandemia COVID 19 en el ambiente 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Hoja3!$F$17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29-417A-AD30-C50082DD5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5313935"/>
        <c:axId val="975315599"/>
      </c:barChart>
      <c:catAx>
        <c:axId val="975313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5315599"/>
        <c:crosses val="autoZero"/>
        <c:auto val="1"/>
        <c:lblAlgn val="ctr"/>
        <c:lblOffset val="100"/>
        <c:noMultiLvlLbl val="0"/>
      </c:catAx>
      <c:valAx>
        <c:axId val="975315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531393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LEGAL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Hoja3!$E$18</c:f>
              <c:strCache>
                <c:ptCount val="1"/>
                <c:pt idx="0">
                  <c:v>Cumplimiento de Habeas Data para protección de datos biométricos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Hoja3!$F$18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5-40A5-A95C-8C7BDDB796E1}"/>
            </c:ext>
          </c:extLst>
        </c:ser>
        <c:ser>
          <c:idx val="1"/>
          <c:order val="1"/>
          <c:tx>
            <c:strRef>
              <c:f>Hoja3!$E$19</c:f>
              <c:strCache>
                <c:ptCount val="1"/>
                <c:pt idx="0">
                  <c:v>Responsabilidad civil por incidentes en encuentros presenciales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Hoja3!$F$19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5-40A5-A95C-8C7BDDB796E1}"/>
            </c:ext>
          </c:extLst>
        </c:ser>
        <c:ser>
          <c:idx val="2"/>
          <c:order val="2"/>
          <c:tx>
            <c:strRef>
              <c:f>Hoja3!$E$20</c:f>
              <c:strCache>
                <c:ptCount val="1"/>
                <c:pt idx="0">
                  <c:v>Regulación de transacciones digitales y protección del consumidor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Hoja3!$F$20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55-40A5-A95C-8C7BDDB79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1746719"/>
        <c:axId val="490738991"/>
      </c:barChart>
      <c:catAx>
        <c:axId val="811746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0738991"/>
        <c:crosses val="autoZero"/>
        <c:auto val="1"/>
        <c:lblAlgn val="ctr"/>
        <c:lblOffset val="100"/>
        <c:noMultiLvlLbl val="0"/>
      </c:catAx>
      <c:valAx>
        <c:axId val="49073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174671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RESULTADOS PESTEL</a:t>
            </a:r>
            <a:r>
              <a:rPr lang="en-US" sz="2800" b="1" baseline="0"/>
              <a:t> </a:t>
            </a:r>
            <a:endParaRPr lang="en-US" sz="2800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Hoja3!$C$3</c:f>
              <c:strCache>
                <c:ptCount val="1"/>
                <c:pt idx="0">
                  <c:v>POLITICO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Hoja3!$G$3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A-4543-AA39-4739EAF7FF78}"/>
            </c:ext>
          </c:extLst>
        </c:ser>
        <c:ser>
          <c:idx val="1"/>
          <c:order val="1"/>
          <c:tx>
            <c:strRef>
              <c:f>Hoja3!$C$6</c:f>
              <c:strCache>
                <c:ptCount val="1"/>
                <c:pt idx="0">
                  <c:v>ECONOMICO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val>
            <c:numRef>
              <c:f>Hoja3!$G$6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A-4543-AA39-4739EAF7FF78}"/>
            </c:ext>
          </c:extLst>
        </c:ser>
        <c:ser>
          <c:idx val="2"/>
          <c:order val="2"/>
          <c:tx>
            <c:strRef>
              <c:f>Hoja3!$C$9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val>
            <c:numRef>
              <c:f>Hoja3!$G$9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9A-4543-AA39-4739EAF7FF78}"/>
            </c:ext>
          </c:extLst>
        </c:ser>
        <c:ser>
          <c:idx val="3"/>
          <c:order val="3"/>
          <c:tx>
            <c:strRef>
              <c:f>Hoja3!$C$12</c:f>
              <c:strCache>
                <c:ptCount val="1"/>
                <c:pt idx="0">
                  <c:v>TECNOLOGICO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c:spPr>
          <c:invertIfNegative val="0"/>
          <c:val>
            <c:numRef>
              <c:f>Hoja3!$G$12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9A-4543-AA39-4739EAF7FF78}"/>
            </c:ext>
          </c:extLst>
        </c:ser>
        <c:ser>
          <c:idx val="4"/>
          <c:order val="4"/>
          <c:tx>
            <c:strRef>
              <c:f>Hoja3!$C$15</c:f>
              <c:strCache>
                <c:ptCount val="1"/>
                <c:pt idx="0">
                  <c:v>ECOLOGICO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val>
            <c:numRef>
              <c:f>Hoja3!$G$15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9A-4543-AA39-4739EAF7FF78}"/>
            </c:ext>
          </c:extLst>
        </c:ser>
        <c:ser>
          <c:idx val="5"/>
          <c:order val="5"/>
          <c:tx>
            <c:strRef>
              <c:f>Hoja3!$C$18</c:f>
              <c:strCache>
                <c:ptCount val="1"/>
                <c:pt idx="0">
                  <c:v>LEGAL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  <a:prstDash val="solid"/>
            </a:ln>
          </c:spPr>
          <c:invertIfNegative val="0"/>
          <c:val>
            <c:numRef>
              <c:f>Hoja3!$G$18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9A-4543-AA39-4739EAF7F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0847359"/>
        <c:axId val="980847775"/>
      </c:barChart>
      <c:catAx>
        <c:axId val="98084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0847775"/>
        <c:crosses val="autoZero"/>
        <c:auto val="1"/>
        <c:lblAlgn val="ctr"/>
        <c:lblOffset val="100"/>
        <c:noMultiLvlLbl val="0"/>
      </c:catAx>
      <c:valAx>
        <c:axId val="98084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084735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502612</xdr:colOff>
      <xdr:row>39</xdr:row>
      <xdr:rowOff>93550</xdr:rowOff>
    </xdr:from>
    <xdr:to>
      <xdr:col>9</xdr:col>
      <xdr:colOff>502612</xdr:colOff>
      <xdr:row>53</xdr:row>
      <xdr:rowOff>169750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716924</xdr:colOff>
      <xdr:row>39</xdr:row>
      <xdr:rowOff>93549</xdr:rowOff>
    </xdr:from>
    <xdr:to>
      <xdr:col>15</xdr:col>
      <xdr:colOff>716924</xdr:colOff>
      <xdr:row>53</xdr:row>
      <xdr:rowOff>169749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427772</xdr:colOff>
      <xdr:row>39</xdr:row>
      <xdr:rowOff>105457</xdr:rowOff>
    </xdr:from>
    <xdr:to>
      <xdr:col>22</xdr:col>
      <xdr:colOff>427772</xdr:colOff>
      <xdr:row>53</xdr:row>
      <xdr:rowOff>181657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420969</xdr:colOff>
      <xdr:row>55</xdr:row>
      <xdr:rowOff>115660</xdr:rowOff>
    </xdr:from>
    <xdr:to>
      <xdr:col>9</xdr:col>
      <xdr:colOff>420969</xdr:colOff>
      <xdr:row>70</xdr:row>
      <xdr:rowOff>1360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638683</xdr:colOff>
      <xdr:row>55</xdr:row>
      <xdr:rowOff>95252</xdr:rowOff>
    </xdr:from>
    <xdr:to>
      <xdr:col>15</xdr:col>
      <xdr:colOff>638683</xdr:colOff>
      <xdr:row>69</xdr:row>
      <xdr:rowOff>171452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408214</xdr:colOff>
      <xdr:row>55</xdr:row>
      <xdr:rowOff>95250</xdr:rowOff>
    </xdr:from>
    <xdr:to>
      <xdr:col>22</xdr:col>
      <xdr:colOff>408214</xdr:colOff>
      <xdr:row>69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204107</xdr:colOff>
      <xdr:row>12</xdr:row>
      <xdr:rowOff>1</xdr:rowOff>
    </xdr:from>
    <xdr:to>
      <xdr:col>13</xdr:col>
      <xdr:colOff>340179</xdr:colOff>
      <xdr:row>35</xdr:row>
      <xdr:rowOff>40821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epal.org/es%5d(https:/www.cepal.org/es" TargetMode="External"/><Relationship Id="rId13" Type="http://schemas.openxmlformats.org/officeDocument/2006/relationships/hyperlink" Target="https://www.csj.gov.co/" TargetMode="External"/><Relationship Id="rId18" Type="http://schemas.openxmlformats.org/officeDocument/2006/relationships/hyperlink" Target="https://actualicese.com/category/normatividad/por-clase/laboral-normatividad/" TargetMode="External"/><Relationship Id="rId3" Type="http://schemas.openxmlformats.org/officeDocument/2006/relationships/hyperlink" Target="https://www.larepublica.co/economia/repunte-del-sector-entretenimiento-y-turismo-en-colombia%5d(https:/www.larepublica.co/economia/repunte-del-sector-entretenimiento-y-turismo-en-colombia" TargetMode="External"/><Relationship Id="rId7" Type="http://schemas.openxmlformats.org/officeDocument/2006/relationships/hyperlink" Target="https://www.mintic.gov.co/%5d(https:/www.mintic.gov.co/" TargetMode="External"/><Relationship Id="rId12" Type="http://schemas.openxmlformats.org/officeDocument/2006/relationships/hyperlink" Target="https://www.mincit.gov.co/" TargetMode="External"/><Relationship Id="rId17" Type="http://schemas.openxmlformats.org/officeDocument/2006/relationships/hyperlink" Target="https://www.sic.gov.co/proteccion-al-consumidor" TargetMode="External"/><Relationship Id="rId2" Type="http://schemas.openxmlformats.org/officeDocument/2006/relationships/hyperlink" Target="https://innpulsacolombia.com/%5d(https:/innpulsacolombia.com/" TargetMode="External"/><Relationship Id="rId16" Type="http://schemas.openxmlformats.org/officeDocument/2006/relationships/hyperlink" Target="https://www.dian.gov.co/" TargetMode="External"/><Relationship Id="rId1" Type="http://schemas.openxmlformats.org/officeDocument/2006/relationships/hyperlink" Target="http://www.fao.org/3/j7507s/j7507s10.htm" TargetMode="External"/><Relationship Id="rId6" Type="http://schemas.openxmlformats.org/officeDocument/2006/relationships/hyperlink" Target="https://www.mintic.gov.co/portal/765/w3-propertyname-4158.html" TargetMode="External"/><Relationship Id="rId11" Type="http://schemas.openxmlformats.org/officeDocument/2006/relationships/hyperlink" Target="https://aws.amazon.com/es/sustainability/" TargetMode="External"/><Relationship Id="rId5" Type="http://schemas.openxmlformats.org/officeDocument/2006/relationships/hyperlink" Target="https://www.dane.gov.co/index.php/estadisticas-por-tema/demografia-y-poblacion" TargetMode="External"/><Relationship Id="rId15" Type="http://schemas.openxmlformats.org/officeDocument/2006/relationships/hyperlink" Target="https://transparenciacolombia.org.co/monitor-ciudadano/" TargetMode="External"/><Relationship Id="rId10" Type="http://schemas.openxmlformats.org/officeDocument/2006/relationships/hyperlink" Target="https://www.minambiente.gov.co/%5d(https:/www.minambiente.gov.co/" TargetMode="External"/><Relationship Id="rId19" Type="http://schemas.openxmlformats.org/officeDocument/2006/relationships/hyperlink" Target="https://www.mininterior.gov.co/%5d(https:/www.mininterior.gov.co/" TargetMode="External"/><Relationship Id="rId4" Type="http://schemas.openxmlformats.org/officeDocument/2006/relationships/hyperlink" Target="https://www.superfinanciera.gov.co/" TargetMode="External"/><Relationship Id="rId9" Type="http://schemas.openxmlformats.org/officeDocument/2006/relationships/hyperlink" Target="https://developers.google.com/maps/documentation/geolocation/overview?hl=es-419ps" TargetMode="External"/><Relationship Id="rId14" Type="http://schemas.openxmlformats.org/officeDocument/2006/relationships/hyperlink" Target="https://www.funcionpublica.gov.co/eva/gestornormativo/norma.php?i=3943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43"/>
  <sheetViews>
    <sheetView tabSelected="1" topLeftCell="C31" zoomScale="91" workbookViewId="0">
      <selection activeCell="F50" sqref="F50"/>
    </sheetView>
  </sheetViews>
  <sheetFormatPr baseColWidth="10" defaultColWidth="11.44140625" defaultRowHeight="14.4" x14ac:dyDescent="0.3"/>
  <cols>
    <col min="4" max="4" width="13.6640625" bestFit="1" customWidth="1"/>
    <col min="5" max="5" width="5.88671875" style="1" customWidth="1"/>
    <col min="6" max="6" width="68.5546875" customWidth="1"/>
    <col min="7" max="7" width="13" bestFit="1" customWidth="1"/>
    <col min="8" max="8" width="13.44140625" bestFit="1" customWidth="1"/>
    <col min="10" max="10" width="14.33203125" bestFit="1" customWidth="1"/>
  </cols>
  <sheetData>
    <row r="3" spans="3:11" ht="25.8" customHeight="1" x14ac:dyDescent="0.3">
      <c r="G3" s="13" t="s">
        <v>0</v>
      </c>
      <c r="H3" s="13" t="s">
        <v>1</v>
      </c>
      <c r="I3" s="85" t="s">
        <v>2</v>
      </c>
      <c r="J3" s="71" t="s">
        <v>3</v>
      </c>
      <c r="K3" s="71" t="s">
        <v>4</v>
      </c>
    </row>
    <row r="4" spans="3:11" ht="13.8" customHeight="1" x14ac:dyDescent="0.3">
      <c r="C4" s="75" t="s">
        <v>5</v>
      </c>
      <c r="D4" s="76"/>
      <c r="E4" s="71" t="s">
        <v>6</v>
      </c>
      <c r="F4" s="82" t="s">
        <v>7</v>
      </c>
      <c r="G4" s="14" t="s">
        <v>8</v>
      </c>
      <c r="H4" s="14" t="s">
        <v>9</v>
      </c>
      <c r="I4" s="86"/>
      <c r="J4" s="72"/>
      <c r="K4" s="72"/>
    </row>
    <row r="5" spans="3:11" ht="36.6" customHeight="1" x14ac:dyDescent="0.3">
      <c r="C5" s="77"/>
      <c r="D5" s="78"/>
      <c r="E5" s="81"/>
      <c r="F5" s="83"/>
      <c r="G5" s="14" t="s">
        <v>10</v>
      </c>
      <c r="H5" s="14" t="s">
        <v>11</v>
      </c>
      <c r="I5" s="86"/>
      <c r="J5" s="73" t="s">
        <v>12</v>
      </c>
      <c r="K5" s="73" t="s">
        <v>12</v>
      </c>
    </row>
    <row r="6" spans="3:11" ht="21" customHeight="1" x14ac:dyDescent="0.3">
      <c r="C6" s="79"/>
      <c r="D6" s="80"/>
      <c r="E6" s="72"/>
      <c r="F6" s="84"/>
      <c r="G6" s="14" t="s">
        <v>13</v>
      </c>
      <c r="H6" s="14" t="s">
        <v>14</v>
      </c>
      <c r="I6" s="87"/>
      <c r="J6" s="74"/>
      <c r="K6" s="74"/>
    </row>
    <row r="7" spans="3:11" ht="15.6" customHeight="1" x14ac:dyDescent="0.3">
      <c r="C7" s="57" t="s">
        <v>15</v>
      </c>
      <c r="D7" s="41" t="s">
        <v>16</v>
      </c>
      <c r="E7" s="2" t="s">
        <v>17</v>
      </c>
      <c r="F7" s="3" t="s">
        <v>18</v>
      </c>
      <c r="G7" s="34">
        <v>3</v>
      </c>
      <c r="H7" s="34">
        <v>3</v>
      </c>
      <c r="I7" s="34">
        <f t="shared" ref="I7:I24" si="0">G7+H7</f>
        <v>6</v>
      </c>
      <c r="J7" s="17" t="s">
        <v>19</v>
      </c>
      <c r="K7" s="17"/>
    </row>
    <row r="8" spans="3:11" ht="15.6" customHeight="1" x14ac:dyDescent="0.3">
      <c r="C8" s="58"/>
      <c r="D8" s="42"/>
      <c r="E8" s="2" t="s">
        <v>20</v>
      </c>
      <c r="F8" s="3" t="s">
        <v>21</v>
      </c>
      <c r="G8" s="34">
        <v>3</v>
      </c>
      <c r="H8" s="34">
        <v>3</v>
      </c>
      <c r="I8" s="34">
        <f t="shared" si="0"/>
        <v>6</v>
      </c>
      <c r="J8" s="17" t="s">
        <v>19</v>
      </c>
      <c r="K8" s="17"/>
    </row>
    <row r="9" spans="3:11" ht="15.6" customHeight="1" x14ac:dyDescent="0.3">
      <c r="C9" s="59"/>
      <c r="D9" s="43"/>
      <c r="E9" s="2" t="s">
        <v>22</v>
      </c>
      <c r="F9" s="3" t="s">
        <v>23</v>
      </c>
      <c r="G9" s="34">
        <v>2</v>
      </c>
      <c r="H9" s="34">
        <v>2</v>
      </c>
      <c r="I9" s="34">
        <f t="shared" si="0"/>
        <v>4</v>
      </c>
      <c r="J9" s="17" t="s">
        <v>19</v>
      </c>
      <c r="K9" s="17"/>
    </row>
    <row r="10" spans="3:11" ht="30" customHeight="1" x14ac:dyDescent="0.3">
      <c r="C10" s="60" t="s">
        <v>24</v>
      </c>
      <c r="D10" s="44" t="s">
        <v>25</v>
      </c>
      <c r="E10" s="4" t="s">
        <v>26</v>
      </c>
      <c r="F10" s="22" t="s">
        <v>27</v>
      </c>
      <c r="G10" s="35">
        <v>2</v>
      </c>
      <c r="H10" s="35">
        <v>2</v>
      </c>
      <c r="I10" s="35">
        <f t="shared" si="0"/>
        <v>4</v>
      </c>
      <c r="J10" s="18"/>
      <c r="K10" s="18" t="s">
        <v>19</v>
      </c>
    </row>
    <row r="11" spans="3:11" ht="28.2" customHeight="1" x14ac:dyDescent="0.3">
      <c r="C11" s="61"/>
      <c r="D11" s="45"/>
      <c r="E11" s="4" t="s">
        <v>28</v>
      </c>
      <c r="F11" s="5" t="s">
        <v>29</v>
      </c>
      <c r="G11" s="35">
        <v>3</v>
      </c>
      <c r="H11" s="35">
        <v>3</v>
      </c>
      <c r="I11" s="35">
        <f t="shared" si="0"/>
        <v>6</v>
      </c>
      <c r="J11" s="18" t="s">
        <v>19</v>
      </c>
      <c r="K11" s="18"/>
    </row>
    <row r="12" spans="3:11" s="25" customFormat="1" ht="36" customHeight="1" x14ac:dyDescent="0.3">
      <c r="C12" s="62"/>
      <c r="D12" s="46"/>
      <c r="E12" s="26" t="s">
        <v>30</v>
      </c>
      <c r="F12" s="22" t="s">
        <v>31</v>
      </c>
      <c r="G12" s="23">
        <v>3</v>
      </c>
      <c r="H12" s="23">
        <v>3</v>
      </c>
      <c r="I12" s="23">
        <f t="shared" si="0"/>
        <v>6</v>
      </c>
      <c r="J12" s="24" t="s">
        <v>19</v>
      </c>
      <c r="K12" s="24"/>
    </row>
    <row r="13" spans="3:11" ht="15.6" customHeight="1" x14ac:dyDescent="0.3">
      <c r="C13" s="63" t="s">
        <v>32</v>
      </c>
      <c r="D13" s="47" t="s">
        <v>33</v>
      </c>
      <c r="E13" s="6" t="s">
        <v>34</v>
      </c>
      <c r="F13" s="7" t="s">
        <v>35</v>
      </c>
      <c r="G13" s="36">
        <v>3</v>
      </c>
      <c r="H13" s="36">
        <v>3</v>
      </c>
      <c r="I13" s="16">
        <f t="shared" si="0"/>
        <v>6</v>
      </c>
      <c r="J13" s="16" t="s">
        <v>19</v>
      </c>
      <c r="K13" s="16"/>
    </row>
    <row r="14" spans="3:11" ht="21.6" customHeight="1" x14ac:dyDescent="0.3">
      <c r="C14" s="64"/>
      <c r="D14" s="48"/>
      <c r="E14" s="32" t="s">
        <v>36</v>
      </c>
      <c r="F14" s="15" t="s">
        <v>37</v>
      </c>
      <c r="G14" s="36">
        <v>3</v>
      </c>
      <c r="H14" s="36">
        <v>3</v>
      </c>
      <c r="I14" s="16">
        <f t="shared" si="0"/>
        <v>6</v>
      </c>
      <c r="J14" s="16" t="s">
        <v>19</v>
      </c>
      <c r="K14" s="16"/>
    </row>
    <row r="15" spans="3:11" ht="29.25" customHeight="1" x14ac:dyDescent="0.3">
      <c r="C15" s="65"/>
      <c r="D15" s="49"/>
      <c r="E15" s="6" t="s">
        <v>38</v>
      </c>
      <c r="F15" s="15" t="s">
        <v>39</v>
      </c>
      <c r="G15" s="36">
        <v>3</v>
      </c>
      <c r="H15" s="36">
        <v>3</v>
      </c>
      <c r="I15" s="16">
        <f t="shared" si="0"/>
        <v>6</v>
      </c>
      <c r="J15" s="16" t="s">
        <v>19</v>
      </c>
      <c r="K15" s="16"/>
    </row>
    <row r="16" spans="3:11" ht="15.6" customHeight="1" x14ac:dyDescent="0.3">
      <c r="C16" s="66" t="s">
        <v>40</v>
      </c>
      <c r="D16" s="50" t="s">
        <v>41</v>
      </c>
      <c r="E16" s="8" t="s">
        <v>42</v>
      </c>
      <c r="F16" s="9" t="s">
        <v>43</v>
      </c>
      <c r="G16" s="37">
        <v>3</v>
      </c>
      <c r="H16" s="37">
        <v>3</v>
      </c>
      <c r="I16" s="37">
        <f t="shared" si="0"/>
        <v>6</v>
      </c>
      <c r="J16" s="19" t="s">
        <v>19</v>
      </c>
      <c r="K16" s="19"/>
    </row>
    <row r="17" spans="3:11" ht="15.6" customHeight="1" x14ac:dyDescent="0.3">
      <c r="C17" s="67"/>
      <c r="D17" s="51"/>
      <c r="E17" s="8" t="s">
        <v>44</v>
      </c>
      <c r="F17" s="9" t="s">
        <v>45</v>
      </c>
      <c r="G17" s="37">
        <v>3</v>
      </c>
      <c r="H17" s="37">
        <v>2</v>
      </c>
      <c r="I17" s="37">
        <f t="shared" si="0"/>
        <v>5</v>
      </c>
      <c r="J17" s="19" t="s">
        <v>19</v>
      </c>
      <c r="K17" s="19"/>
    </row>
    <row r="18" spans="3:11" ht="15.6" customHeight="1" x14ac:dyDescent="0.3">
      <c r="C18" s="68"/>
      <c r="D18" s="52"/>
      <c r="E18" s="8" t="s">
        <v>46</v>
      </c>
      <c r="F18" s="9" t="s">
        <v>47</v>
      </c>
      <c r="G18" s="37">
        <v>2</v>
      </c>
      <c r="H18" s="37">
        <v>3</v>
      </c>
      <c r="I18" s="37">
        <f t="shared" si="0"/>
        <v>5</v>
      </c>
      <c r="J18" s="19" t="s">
        <v>19</v>
      </c>
      <c r="K18" s="19"/>
    </row>
    <row r="19" spans="3:11" ht="21.6" customHeight="1" x14ac:dyDescent="0.3">
      <c r="C19" s="69" t="s">
        <v>24</v>
      </c>
      <c r="D19" s="53" t="s">
        <v>48</v>
      </c>
      <c r="E19" s="31" t="s">
        <v>49</v>
      </c>
      <c r="F19" s="27" t="s">
        <v>50</v>
      </c>
      <c r="G19" s="38">
        <v>1</v>
      </c>
      <c r="H19" s="38">
        <v>2</v>
      </c>
      <c r="I19" s="38">
        <f t="shared" si="0"/>
        <v>3</v>
      </c>
      <c r="J19" s="20"/>
      <c r="K19" s="20" t="s">
        <v>19</v>
      </c>
    </row>
    <row r="20" spans="3:11" ht="23.4" customHeight="1" x14ac:dyDescent="0.3">
      <c r="C20" s="70"/>
      <c r="D20" s="54"/>
      <c r="E20" s="31" t="s">
        <v>51</v>
      </c>
      <c r="F20" s="27" t="s">
        <v>52</v>
      </c>
      <c r="G20" s="38">
        <v>1</v>
      </c>
      <c r="H20" s="38">
        <v>1</v>
      </c>
      <c r="I20" s="38">
        <f t="shared" si="0"/>
        <v>2</v>
      </c>
      <c r="J20" s="20"/>
      <c r="K20" s="20" t="s">
        <v>19</v>
      </c>
    </row>
    <row r="21" spans="3:11" ht="15.6" customHeight="1" x14ac:dyDescent="0.3">
      <c r="C21" s="39" t="s">
        <v>53</v>
      </c>
      <c r="D21" s="55" t="s">
        <v>54</v>
      </c>
      <c r="E21" s="11" t="s">
        <v>57</v>
      </c>
      <c r="F21" s="12" t="s">
        <v>56</v>
      </c>
      <c r="G21" s="33">
        <v>3</v>
      </c>
      <c r="H21" s="33">
        <v>3</v>
      </c>
      <c r="I21" s="33">
        <f>G21+H21</f>
        <v>6</v>
      </c>
      <c r="J21" s="21"/>
      <c r="K21" s="21" t="s">
        <v>19</v>
      </c>
    </row>
    <row r="22" spans="3:11" ht="15.6" customHeight="1" x14ac:dyDescent="0.3">
      <c r="C22" s="40"/>
      <c r="D22" s="56"/>
      <c r="E22" s="11" t="s">
        <v>57</v>
      </c>
      <c r="F22" s="12" t="s">
        <v>58</v>
      </c>
      <c r="G22" s="33">
        <v>3</v>
      </c>
      <c r="H22" s="33">
        <v>3</v>
      </c>
      <c r="I22" s="33">
        <f t="shared" si="0"/>
        <v>6</v>
      </c>
      <c r="J22" s="21"/>
      <c r="K22" s="21" t="s">
        <v>19</v>
      </c>
    </row>
    <row r="23" spans="3:11" ht="15.6" customHeight="1" x14ac:dyDescent="0.3">
      <c r="C23" s="40"/>
      <c r="D23" s="56"/>
      <c r="E23" s="11" t="s">
        <v>59</v>
      </c>
      <c r="F23" s="12" t="s">
        <v>60</v>
      </c>
      <c r="G23" s="33">
        <v>2</v>
      </c>
      <c r="H23" s="33">
        <v>2</v>
      </c>
      <c r="I23" s="33">
        <f t="shared" si="0"/>
        <v>4</v>
      </c>
      <c r="J23" s="21" t="s">
        <v>19</v>
      </c>
      <c r="K23" s="21"/>
    </row>
    <row r="24" spans="3:11" ht="15.6" x14ac:dyDescent="0.3">
      <c r="C24" s="40"/>
      <c r="D24" s="56"/>
      <c r="E24" s="11" t="s">
        <v>77</v>
      </c>
      <c r="F24" s="12" t="s">
        <v>61</v>
      </c>
      <c r="G24" s="33">
        <v>2</v>
      </c>
      <c r="H24" s="33">
        <v>3</v>
      </c>
      <c r="I24" s="33">
        <f t="shared" si="0"/>
        <v>5</v>
      </c>
      <c r="J24" s="21"/>
      <c r="K24" s="21" t="s">
        <v>19</v>
      </c>
    </row>
    <row r="25" spans="3:11" ht="14.4" customHeight="1" x14ac:dyDescent="0.3">
      <c r="E25" s="2" t="s">
        <v>17</v>
      </c>
      <c r="F25" s="28" t="s">
        <v>62</v>
      </c>
      <c r="I25" s="30">
        <f>SUM(I7:I24)</f>
        <v>92</v>
      </c>
      <c r="J25" s="30">
        <v>9</v>
      </c>
      <c r="K25" s="30">
        <v>9</v>
      </c>
    </row>
    <row r="26" spans="3:11" ht="14.4" customHeight="1" x14ac:dyDescent="0.3">
      <c r="E26" s="2" t="s">
        <v>20</v>
      </c>
      <c r="F26" s="28" t="s">
        <v>75</v>
      </c>
    </row>
    <row r="27" spans="3:11" ht="14.4" customHeight="1" x14ac:dyDescent="0.3">
      <c r="E27" s="2" t="s">
        <v>22</v>
      </c>
      <c r="F27" s="28" t="s">
        <v>78</v>
      </c>
    </row>
    <row r="28" spans="3:11" ht="14.4" customHeight="1" x14ac:dyDescent="0.3">
      <c r="E28" s="4" t="s">
        <v>26</v>
      </c>
      <c r="F28" s="28" t="s">
        <v>76</v>
      </c>
    </row>
    <row r="29" spans="3:11" x14ac:dyDescent="0.3">
      <c r="E29" s="4" t="s">
        <v>28</v>
      </c>
      <c r="F29" s="28" t="s">
        <v>93</v>
      </c>
    </row>
    <row r="30" spans="3:11" x14ac:dyDescent="0.3">
      <c r="E30" s="26" t="s">
        <v>30</v>
      </c>
      <c r="F30" s="28" t="s">
        <v>92</v>
      </c>
    </row>
    <row r="31" spans="3:11" x14ac:dyDescent="0.3">
      <c r="E31" s="6" t="s">
        <v>34</v>
      </c>
      <c r="F31" s="28" t="s">
        <v>91</v>
      </c>
    </row>
    <row r="32" spans="3:11" x14ac:dyDescent="0.3">
      <c r="E32" s="32" t="s">
        <v>36</v>
      </c>
      <c r="F32" s="28" t="s">
        <v>90</v>
      </c>
    </row>
    <row r="33" spans="5:6" x14ac:dyDescent="0.3">
      <c r="E33" s="6" t="s">
        <v>38</v>
      </c>
      <c r="F33" s="28" t="s">
        <v>89</v>
      </c>
    </row>
    <row r="34" spans="5:6" x14ac:dyDescent="0.3">
      <c r="E34" s="8" t="s">
        <v>42</v>
      </c>
      <c r="F34" s="28" t="s">
        <v>88</v>
      </c>
    </row>
    <row r="35" spans="5:6" x14ac:dyDescent="0.3">
      <c r="E35" s="8" t="s">
        <v>44</v>
      </c>
      <c r="F35" s="28" t="s">
        <v>86</v>
      </c>
    </row>
    <row r="36" spans="5:6" x14ac:dyDescent="0.3">
      <c r="E36" s="8" t="s">
        <v>46</v>
      </c>
      <c r="F36" s="28" t="s">
        <v>87</v>
      </c>
    </row>
    <row r="37" spans="5:6" x14ac:dyDescent="0.3">
      <c r="E37" s="31" t="s">
        <v>49</v>
      </c>
      <c r="F37" s="28" t="s">
        <v>85</v>
      </c>
    </row>
    <row r="38" spans="5:6" x14ac:dyDescent="0.3">
      <c r="E38" s="31" t="s">
        <v>51</v>
      </c>
      <c r="F38" s="28" t="s">
        <v>84</v>
      </c>
    </row>
    <row r="39" spans="5:6" x14ac:dyDescent="0.3">
      <c r="E39" s="10" t="s">
        <v>63</v>
      </c>
      <c r="F39" s="28" t="s">
        <v>83</v>
      </c>
    </row>
    <row r="40" spans="5:6" x14ac:dyDescent="0.3">
      <c r="E40" s="11" t="s">
        <v>55</v>
      </c>
      <c r="F40" s="28" t="s">
        <v>82</v>
      </c>
    </row>
    <row r="41" spans="5:6" x14ac:dyDescent="0.3">
      <c r="E41" s="11" t="s">
        <v>57</v>
      </c>
      <c r="F41" s="28" t="s">
        <v>80</v>
      </c>
    </row>
    <row r="42" spans="5:6" x14ac:dyDescent="0.3">
      <c r="E42" s="11" t="s">
        <v>59</v>
      </c>
      <c r="F42" s="28" t="s">
        <v>79</v>
      </c>
    </row>
    <row r="43" spans="5:6" x14ac:dyDescent="0.3">
      <c r="E43" s="11" t="s">
        <v>77</v>
      </c>
      <c r="F43" s="28" t="s">
        <v>81</v>
      </c>
    </row>
  </sheetData>
  <mergeCells count="20">
    <mergeCell ref="C21:C24"/>
    <mergeCell ref="D21:D24"/>
    <mergeCell ref="K3:K4"/>
    <mergeCell ref="J5:J6"/>
    <mergeCell ref="K5:K6"/>
    <mergeCell ref="C4:D6"/>
    <mergeCell ref="E4:E6"/>
    <mergeCell ref="F4:F6"/>
    <mergeCell ref="I3:I6"/>
    <mergeCell ref="J3:J4"/>
    <mergeCell ref="D7:D9"/>
    <mergeCell ref="D10:D12"/>
    <mergeCell ref="D13:D15"/>
    <mergeCell ref="D16:D18"/>
    <mergeCell ref="D19:D20"/>
    <mergeCell ref="C7:C9"/>
    <mergeCell ref="C10:C12"/>
    <mergeCell ref="C13:C15"/>
    <mergeCell ref="C16:C18"/>
    <mergeCell ref="C19:C20"/>
  </mergeCells>
  <phoneticPr fontId="7" type="noConversion"/>
  <hyperlinks>
    <hyperlink ref="F25" r:id="rId1" xr:uid="{00000000-0004-0000-0000-000000000000}"/>
    <hyperlink ref="F27" r:id="rId2" xr:uid="{00000000-0004-0000-0000-000002000000}"/>
    <hyperlink ref="F29" r:id="rId3" xr:uid="{00000000-0004-0000-0000-000004000000}"/>
    <hyperlink ref="F30" r:id="rId4" xr:uid="{00000000-0004-0000-0000-000005000000}"/>
    <hyperlink ref="F31" r:id="rId5" xr:uid="{00000000-0004-0000-0000-000006000000}"/>
    <hyperlink ref="F32" r:id="rId6" xr:uid="{00000000-0004-0000-0000-000007000000}"/>
    <hyperlink ref="F34" r:id="rId7" xr:uid="{00000000-0004-0000-0000-000009000000}"/>
    <hyperlink ref="F35" r:id="rId8" xr:uid="{00000000-0004-0000-0000-00000A000000}"/>
    <hyperlink ref="F36" r:id="rId9" xr:uid="{00000000-0004-0000-0000-00000B000000}"/>
    <hyperlink ref="F37" r:id="rId10" xr:uid="{00000000-0004-0000-0000-00000C000000}"/>
    <hyperlink ref="F38" r:id="rId11" xr:uid="{00000000-0004-0000-0000-00000D000000}"/>
    <hyperlink ref="F39" r:id="rId12" xr:uid="{00000000-0004-0000-0000-00000E000000}"/>
    <hyperlink ref="F41" r:id="rId13" xr:uid="{00000000-0004-0000-0000-000010000000}"/>
    <hyperlink ref="F26" r:id="rId14" xr:uid="{00000000-0004-0000-0000-000001000000}"/>
    <hyperlink ref="F28" r:id="rId15" xr:uid="{A8A18497-53F2-4688-ACA2-F23E0E87DF66}"/>
    <hyperlink ref="F43" r:id="rId16" xr:uid="{CF3CCD2C-8DAB-44C4-80F2-377A8706A3EC}"/>
    <hyperlink ref="F42" r:id="rId17" xr:uid="{74EF703F-4F03-424F-9F4D-E1A28D892A10}"/>
    <hyperlink ref="F40" r:id="rId18" location=":~:text=Mediante%20el%20Decreto%201785%20de,Colombia%20para%20el%20a%C3%B1o%202021." display="https://actualicese.com/category/normatividad/por-clase/laboral-normatividad/#:~:text=Mediante%20el%20Decreto%201785%20de,Colombia%20para%20el%20a%C3%B1o%202021." xr:uid="{00000000-0004-0000-0000-00000F000000}"/>
    <hyperlink ref="F33" r:id="rId19" xr:uid="{27EE9FC3-FF91-4DEE-A3C0-2A1A2D28EE00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G21"/>
  <sheetViews>
    <sheetView zoomScale="80" zoomScaleNormal="80" workbookViewId="0">
      <selection activeCell="E8" sqref="E8"/>
    </sheetView>
  </sheetViews>
  <sheetFormatPr baseColWidth="10" defaultColWidth="11.44140625" defaultRowHeight="14.4" x14ac:dyDescent="0.3"/>
  <cols>
    <col min="3" max="3" width="14.33203125" bestFit="1" customWidth="1"/>
    <col min="5" max="5" width="62" customWidth="1"/>
  </cols>
  <sheetData>
    <row r="3" spans="3:7" ht="15" customHeight="1" x14ac:dyDescent="0.3">
      <c r="C3" s="91" t="s">
        <v>16</v>
      </c>
      <c r="D3" s="2" t="s">
        <v>17</v>
      </c>
      <c r="E3" s="3" t="s">
        <v>18</v>
      </c>
      <c r="F3" s="34">
        <v>6</v>
      </c>
      <c r="G3" s="91">
        <f>SUM(F3:F5)</f>
        <v>16</v>
      </c>
    </row>
    <row r="4" spans="3:7" ht="15" customHeight="1" x14ac:dyDescent="0.3">
      <c r="C4" s="92"/>
      <c r="D4" s="2" t="s">
        <v>20</v>
      </c>
      <c r="E4" s="3" t="s">
        <v>21</v>
      </c>
      <c r="F4" s="34">
        <v>6</v>
      </c>
      <c r="G4" s="92"/>
    </row>
    <row r="5" spans="3:7" ht="21" customHeight="1" x14ac:dyDescent="0.3">
      <c r="C5" s="93"/>
      <c r="D5" s="2" t="s">
        <v>22</v>
      </c>
      <c r="E5" s="3" t="s">
        <v>23</v>
      </c>
      <c r="F5" s="34">
        <v>4</v>
      </c>
      <c r="G5" s="93"/>
    </row>
    <row r="6" spans="3:7" ht="15" customHeight="1" x14ac:dyDescent="0.3">
      <c r="C6" s="94" t="s">
        <v>25</v>
      </c>
      <c r="D6" s="4" t="s">
        <v>26</v>
      </c>
      <c r="E6" s="22" t="s">
        <v>27</v>
      </c>
      <c r="F6" s="35">
        <v>4</v>
      </c>
      <c r="G6" s="94">
        <f>SUM(F6:F8)</f>
        <v>16</v>
      </c>
    </row>
    <row r="7" spans="3:7" ht="15" customHeight="1" x14ac:dyDescent="0.3">
      <c r="C7" s="95"/>
      <c r="D7" s="4" t="s">
        <v>28</v>
      </c>
      <c r="E7" s="5" t="s">
        <v>29</v>
      </c>
      <c r="F7" s="35">
        <v>6</v>
      </c>
      <c r="G7" s="95"/>
    </row>
    <row r="8" spans="3:7" ht="29.4" customHeight="1" x14ac:dyDescent="0.3">
      <c r="C8" s="96"/>
      <c r="D8" s="26" t="s">
        <v>30</v>
      </c>
      <c r="E8" s="22" t="s">
        <v>64</v>
      </c>
      <c r="F8" s="23">
        <v>6</v>
      </c>
      <c r="G8" s="96"/>
    </row>
    <row r="9" spans="3:7" ht="24.6" customHeight="1" x14ac:dyDescent="0.3">
      <c r="C9" s="97" t="s">
        <v>33</v>
      </c>
      <c r="D9" s="6" t="s">
        <v>34</v>
      </c>
      <c r="E9" s="15" t="s">
        <v>65</v>
      </c>
      <c r="F9" s="16">
        <v>6</v>
      </c>
      <c r="G9" s="97">
        <f>SUM(F9:F11)</f>
        <v>18</v>
      </c>
    </row>
    <row r="10" spans="3:7" ht="21.6" customHeight="1" x14ac:dyDescent="0.3">
      <c r="C10" s="98"/>
      <c r="D10" s="32" t="s">
        <v>36</v>
      </c>
      <c r="E10" s="15" t="s">
        <v>66</v>
      </c>
      <c r="F10" s="16">
        <v>6</v>
      </c>
      <c r="G10" s="98"/>
    </row>
    <row r="11" spans="3:7" ht="30" customHeight="1" x14ac:dyDescent="0.3">
      <c r="C11" s="99"/>
      <c r="D11" s="6" t="s">
        <v>38</v>
      </c>
      <c r="E11" s="15" t="s">
        <v>67</v>
      </c>
      <c r="F11" s="16">
        <v>6</v>
      </c>
      <c r="G11" s="99"/>
    </row>
    <row r="12" spans="3:7" ht="30" customHeight="1" x14ac:dyDescent="0.3">
      <c r="C12" s="100" t="s">
        <v>41</v>
      </c>
      <c r="D12" s="8" t="s">
        <v>42</v>
      </c>
      <c r="E12" s="29" t="s">
        <v>68</v>
      </c>
      <c r="F12" s="37">
        <v>6</v>
      </c>
      <c r="G12" s="100">
        <f>SUM(F12:F14)</f>
        <v>16</v>
      </c>
    </row>
    <row r="13" spans="3:7" ht="18" customHeight="1" x14ac:dyDescent="0.3">
      <c r="C13" s="101"/>
      <c r="D13" s="8" t="s">
        <v>44</v>
      </c>
      <c r="E13" s="9" t="s">
        <v>69</v>
      </c>
      <c r="F13" s="37">
        <v>5</v>
      </c>
      <c r="G13" s="101"/>
    </row>
    <row r="14" spans="3:7" ht="28.5" customHeight="1" x14ac:dyDescent="0.3">
      <c r="C14" s="102"/>
      <c r="D14" s="8" t="s">
        <v>46</v>
      </c>
      <c r="E14" s="29" t="s">
        <v>47</v>
      </c>
      <c r="F14" s="37">
        <v>5</v>
      </c>
      <c r="G14" s="102"/>
    </row>
    <row r="15" spans="3:7" ht="22.2" customHeight="1" x14ac:dyDescent="0.3">
      <c r="C15" s="103" t="s">
        <v>48</v>
      </c>
      <c r="D15" s="31" t="s">
        <v>49</v>
      </c>
      <c r="E15" s="27" t="s">
        <v>50</v>
      </c>
      <c r="F15" s="38">
        <v>3</v>
      </c>
      <c r="G15" s="103">
        <f>SUM(F15:F17)</f>
        <v>11</v>
      </c>
    </row>
    <row r="16" spans="3:7" ht="19.2" customHeight="1" x14ac:dyDescent="0.3">
      <c r="C16" s="104"/>
      <c r="D16" s="31" t="s">
        <v>51</v>
      </c>
      <c r="E16" s="27" t="s">
        <v>70</v>
      </c>
      <c r="F16" s="38">
        <v>2</v>
      </c>
      <c r="G16" s="104"/>
    </row>
    <row r="17" spans="3:7" ht="22.8" customHeight="1" x14ac:dyDescent="0.3">
      <c r="C17" s="105"/>
      <c r="D17" s="10" t="s">
        <v>63</v>
      </c>
      <c r="E17" s="27" t="s">
        <v>71</v>
      </c>
      <c r="F17" s="38">
        <v>6</v>
      </c>
      <c r="G17" s="105"/>
    </row>
    <row r="18" spans="3:7" ht="15" customHeight="1" x14ac:dyDescent="0.3">
      <c r="C18" s="88" t="s">
        <v>54</v>
      </c>
      <c r="D18" s="11" t="s">
        <v>55</v>
      </c>
      <c r="E18" s="12" t="s">
        <v>72</v>
      </c>
      <c r="F18" s="33">
        <v>6</v>
      </c>
      <c r="G18" s="88">
        <f>SUM(F18:F20)</f>
        <v>16</v>
      </c>
    </row>
    <row r="19" spans="3:7" ht="15" customHeight="1" x14ac:dyDescent="0.3">
      <c r="C19" s="89"/>
      <c r="D19" s="11" t="s">
        <v>57</v>
      </c>
      <c r="E19" s="12" t="s">
        <v>73</v>
      </c>
      <c r="F19" s="33">
        <v>6</v>
      </c>
      <c r="G19" s="89"/>
    </row>
    <row r="20" spans="3:7" ht="15" customHeight="1" x14ac:dyDescent="0.3">
      <c r="C20" s="90"/>
      <c r="D20" s="11" t="s">
        <v>59</v>
      </c>
      <c r="E20" s="12" t="s">
        <v>74</v>
      </c>
      <c r="F20" s="33">
        <v>4</v>
      </c>
      <c r="G20" s="90"/>
    </row>
    <row r="21" spans="3:7" x14ac:dyDescent="0.3">
      <c r="F21" s="30">
        <v>97</v>
      </c>
    </row>
  </sheetData>
  <mergeCells count="12">
    <mergeCell ref="G18:G20"/>
    <mergeCell ref="C3:C5"/>
    <mergeCell ref="C6:C8"/>
    <mergeCell ref="C9:C11"/>
    <mergeCell ref="C12:C14"/>
    <mergeCell ref="C15:C17"/>
    <mergeCell ref="C18:C20"/>
    <mergeCell ref="G3:G5"/>
    <mergeCell ref="G6:G8"/>
    <mergeCell ref="G9:G11"/>
    <mergeCell ref="G12:G14"/>
    <mergeCell ref="G15:G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7" zoomScale="70" zoomScaleNormal="70" workbookViewId="0">
      <selection activeCell="Q51" sqref="Q51"/>
    </sheetView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Hoja3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Andres Galvez</dc:creator>
  <cp:lastModifiedBy>Alan Hoshi</cp:lastModifiedBy>
  <dcterms:created xsi:type="dcterms:W3CDTF">2021-04-20T19:22:12Z</dcterms:created>
  <dcterms:modified xsi:type="dcterms:W3CDTF">2026-08-08T20:08:34Z</dcterms:modified>
</cp:coreProperties>
</file>