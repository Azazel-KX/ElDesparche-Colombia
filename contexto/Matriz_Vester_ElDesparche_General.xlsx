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Vester" sheetId="1" state="visible" r:id="rId3"/>
    <sheet name="Análisis" sheetId="2" state="visible" r:id="rId4"/>
    <sheet name="Variabl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<sst xmlns="http://schemas.openxmlformats.org/spreadsheetml/2006/main" count="88" uniqueCount="70">
  <si>
    <t xml:space="preserve">Situación problemática</t>
  </si>
  <si>
    <t xml:space="preserve">El proyecto integrador ElDesparche, un sistema web de gestión y reserva de eventos y espectáculos (registro e inicio de sesión, perfiles de cliente, agente y administrador, CRUD, dashboard de reportes y mapa con ubicación en tiempo real, sobre PostgreSQL), enfrenta dificultades que ponen en riesgo su desarrollo completo y su calidad.</t>
  </si>
  <si>
    <t xml:space="preserve">Código</t>
  </si>
  <si>
    <t xml:space="preserve">Variable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</si>
  <si>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</si>
  <si>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</si>
  <si>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</si>
  <si>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</si>
  <si>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</si>
  <si>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</si>
  <si>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</si>
  <si>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</si>
  <si>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</si>
  <si>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</si>
  <si>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</si>
  <si>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</si>
  <si>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INFLUENCIA</t>
  </si>
  <si>
    <t xml:space="preserve">Análisis y modelado UML incompletos (requisitos poco claros)</t>
  </si>
  <si>
    <t xml:space="preserve">Diseño de la base de datos relacional inconsistente (PostgreSQL)</t>
  </si>
  <si>
    <t xml:space="preserve">Reglas de negocio mal implementadas (estados, capacidad y reservas)</t>
  </si>
  <si>
    <t xml:space="preserve">Comunicación deficiente entre frontend, backend y base de datos</t>
  </si>
  <si>
    <t xml:space="preserve">Autenticación, registro y control de acceso por perfil débiles</t>
  </si>
  <si>
    <t xml:space="preserve">Interfaz de usuario poco usable o no responsiva</t>
  </si>
  <si>
    <t xml:space="preserve">Dashboard y reportes del administrador incorrectos o incompletos</t>
  </si>
  <si>
    <t xml:space="preserve">Mapa con ubicación en tiempo real impreciso o desactualizado</t>
  </si>
  <si>
    <t xml:space="preserve">Falta de pruebas y validación de datos en los CRUD</t>
  </si>
  <si>
    <t xml:space="preserve">Trabajo en equipo y control de versiones (GitHub) deficientes</t>
  </si>
  <si>
    <t xml:space="preserve">Planeación y gestión del tiempo insuficientes frente al alcance</t>
  </si>
  <si>
    <t xml:space="preserve">Bajo dominio de las tecnologías del curso (HTML5, CSS, Bootstrap, JS/TS, MVC)</t>
  </si>
  <si>
    <t xml:space="preserve">DEPENDENCIA</t>
  </si>
  <si>
    <t xml:space="preserve">Escala de calificación (fila influye sobre columna):</t>
  </si>
  <si>
    <t xml:space="preserve">0 = No influye</t>
  </si>
  <si>
    <t xml:space="preserve">1 = Influencia débil o indirecta</t>
  </si>
  <si>
    <t xml:space="preserve">2 = Influencia media</t>
  </si>
  <si>
    <t xml:space="preserve">3 = Influencia fuerte o directa</t>
  </si>
  <si>
    <t xml:space="preserve">Celdas en azul: calificaciones editables (0 a 3). La diagonal (gris) no se califica. Influencia y dependencia se recalculan solas.</t>
  </si>
  <si>
    <t xml:space="preserve">Análisis de la matriz: clasificación de las variables</t>
  </si>
  <si>
    <t xml:space="preserve">Influencia (activa)</t>
  </si>
  <si>
    <t xml:space="preserve">Dependencia (pasiva)</t>
  </si>
  <si>
    <t xml:space="preserve">Producto (Infl. × Dep.)</t>
  </si>
  <si>
    <t xml:space="preserve">Cociente (Infl. / Dep. ×100)</t>
  </si>
  <si>
    <t xml:space="preserve">Cuadrante</t>
  </si>
  <si>
    <t xml:space="preserve">Umbral de influencia (promedio)</t>
  </si>
  <si>
    <t xml:space="preserve">Umbral de dependencia (promedio)</t>
  </si>
  <si>
    <t xml:space="preserve">Control: Σ influencia = Σ dependencia</t>
  </si>
  <si>
    <t xml:space="preserve">Cómo leerlo: Crítico = influencia y dependencia altas (nodo que recibe y propaga efectos; intervenir con cuidado). Activo = influye mucho y depende poco (causa raíz; atacar primero). Pasivo = depende mucho y influye poco (consecuencia; sirve de indicador). Indiferente = ambas bajas (baja prioridad). El umbral de cada eje es el promedio.</t>
  </si>
  <si>
    <t xml:space="preserve">Datos de apoyo del gráfico (no modificar)</t>
  </si>
  <si>
    <t xml:space="preserve">Serie</t>
  </si>
  <si>
    <t xml:space="preserve">X</t>
  </si>
  <si>
    <t xml:space="preserve">Y</t>
  </si>
  <si>
    <t xml:space="preserve">Umbral dependencia</t>
  </si>
  <si>
    <t xml:space="preserve">Umbral influencia</t>
  </si>
  <si>
    <t xml:space="preserve">ACTIVOS</t>
  </si>
  <si>
    <t xml:space="preserve">CRÍTICOS</t>
  </si>
  <si>
    <t xml:space="preserve">PASIVOS</t>
  </si>
  <si>
    <t xml:space="preserve">INDIFERENTES</t>
  </si>
  <si>
    <t xml:space="preserve">Descripción de las variables (según el enunciado del proyecto)</t>
  </si>
  <si>
    <t xml:space="preserve">Cómo se manifiesta en el proyecto</t>
  </si>
  <si>
    <t xml:space="preserve">El enunciado exige modelamiento UML del sistema; requisitos ambiguos o diagramas incompletos generan errores en todo el desarrollo posterior.</t>
  </si>
  <si>
    <t xml:space="preserve">Tablas de personas, clientes, agentes, administradores, eventos, reservas, países, departamentos y ciudades con claves y relaciones mal definidas.</t>
  </si>
  <si>
    <t xml:space="preserve">Estados del evento (Programado, En Boletería, En Vivo, Finalizado, Cancelado) y de la reserva (Reservada, Confirmada, Cancelada), capacidad y valor de la reserva mal controlados.</t>
  </si>
  <si>
    <t xml:space="preserve">La aplicación con patrón MVC debe conectarse al backend y a la base de datos mediante un modelo de comunicación; si falla, se rompen consultas y operaciones CRUD.</t>
  </si>
  <si>
    <t xml:space="preserve">Inicio de sesión con correo y contraseña, registro de clientes y agentes y vistas propias por perfil: si el control de acceso falla, un usuario ve o modifica lo que no debe.</t>
  </si>
  <si>
    <t xml:space="preserve">Interfaz hecha con HTML5, CSS, Bootstrap, JavaScript y TypeScript que no es clara, no se adapta a distintos dispositivos o es inconsistente entre perfiles.</t>
  </si>
  <si>
    <t xml:space="preserve">Reportes solo para administradores (registros, ingresos por mes, reservas por evento, cancelaciones con causa, cobertura) y estadísticas con datos erróneos o incompletos.</t>
  </si>
  <si>
    <t xml:space="preserve">El mapa con ubicación en tiempo real depende de datos de ubicación (ciudad, teatro) correctos y actualizados de cada evento.</t>
  </si>
  <si>
    <t xml:space="preserve">CRUD de nueve entidades sin validación de datos ni pruebas produce errores, datos inconsistentes y fallas en los reportes.</t>
  </si>
  <si>
    <t xml:space="preserve">Máximo cuatro integrantes con repositorio en GitHub: participación desigual y conflictos de versiones; además, la sustentación es individual.</t>
  </si>
  <si>
    <t xml:space="preserve">Alcance amplio (CRUD, perfiles, reportes, mapa) con entregas por cortes: una mala planeación deja funciones sin terminar.</t>
  </si>
  <si>
    <t xml:space="preserve">El curso exige manejar HTML5, CSS, Bootstrap, JavaScript, TypeScript, MVC y PostgreSQL; los vacíos de conocimiento retrasan y bajan la calidad del trabajo.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</si>
</sst>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"/>
    <numFmt numFmtId="167" formatCode="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7F7F7F"/>
      <name val="Arial"/>
      <family val="0"/>
      <charset val="1"/>
    </font>
    <font>
      <sz val="10"/>
      <color rgb="FF7F7F7F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E79"/>
      </patternFill>
    </fill>
    <fill>
      <patternFill patternType="solid">
        <fgColor rgb="FFD9D9D9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1F4E79"/>
      </font>
      <fill>
        <patternFill>
          <bgColor rgb="FFBDD7EE"/>
        </patternFill>
      </fill>
    </dxf>
    <dxf>
      <font>
        <name val="Arial"/>
        <charset val="1"/>
        <family val="0"/>
        <b val="1"/>
        <color rgb="FF404040"/>
      </font>
      <fill>
        <patternFill>
          <bgColor rgb="FFE7E6E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7F7F7F"/>
      <rgbColor rgb="FF9999FF"/>
      <rgbColor rgb="FF993366"/>
      <rgbColor rgb="FFE7E6E6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878787"/>
      <rgbColor rgb="FF1F4E79"/>
      <rgbColor rgb="FF339966"/>
      <rgbColor rgb="FF003300"/>
      <rgbColor rgb="FF333300"/>
      <rgbColor rgb="FF9C5700"/>
      <rgbColor rgb="FF993366"/>
      <rgbColor rgb="FF1F497D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Análisis!$A$4</c:f>
              <c:strCache>
                <c:ptCount val="1"/>
                <c:pt idx="0">
                  <c:v>P1</c:v>
                </c:pt>
              </c:strCache>
            </c:strRef>
          </c:tx>
          <c:spPr>
            <a:solidFill>
              <a:srgbClr val="2e75b6"/>
            </a:solidFill>
            <a:ln w="28440">
              <a:noFill/>
            </a:ln>
          </c:spPr>
          <c:marker>
            <c:symbol val="circle"/>
            <c:size val="10"/>
            <c:spPr>
              <a:solidFill>
                <a:srgbClr val="2e75b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Análisis!$D$4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Análisis!$C$4</c:f>
              <c:numCache>
                <c:formatCode>General</c:formatCode>
                <c:ptCount val="1"/>
                <c:pt idx="0">
                  <c:v>18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Análisis!$A$5</c:f>
              <c:strCache>
                <c:ptCount val="1"/>
                <c:pt idx="0">
                  <c:v>P2</c:v>
                </c:pt>
              </c:strCache>
            </c:strRef>
          </c:tx>
          <c:spPr>
            <a:solidFill>
              <a:srgbClr val="2e75b6"/>
            </a:solidFill>
            <a:ln w="28440">
              <a:noFill/>
            </a:ln>
          </c:spPr>
          <c:marker>
            <c:symbol val="circle"/>
            <c:size val="10"/>
            <c:spPr>
              <a:solidFill>
                <a:srgbClr val="2e75b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Análisis!$D$5</c:f>
              <c:numCache>
                <c:formatCode>General</c:formatCode>
                <c:ptCount val="1"/>
                <c:pt idx="0">
                  <c:v>10</c:v>
                </c:pt>
              </c:numCache>
            </c:numRef>
          </c:xVal>
          <c:yVal>
            <c:numRef>
              <c:f>Análisis!$C$5</c:f>
              <c:numCache>
                <c:formatCode>General</c:formatCode>
                <c:ptCount val="1"/>
                <c:pt idx="0">
                  <c:v>15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Análisis!$A$6</c:f>
              <c:strCache>
                <c:ptCount val="1"/>
                <c:pt idx="0">
                  <c:v>P3</c:v>
                </c:pt>
              </c:strCache>
            </c:strRef>
          </c:tx>
          <c:spPr>
            <a:solidFill>
              <a:srgbClr val="2e75b6"/>
            </a:solidFill>
            <a:ln w="28440">
              <a:noFill/>
            </a:ln>
          </c:spPr>
          <c:marker>
            <c:symbol val="circle"/>
            <c:size val="10"/>
            <c:spPr>
              <a:solidFill>
                <a:srgbClr val="2e75b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Análisis!$D$6</c:f>
              <c:numCache>
                <c:formatCode>General</c:formatCode>
                <c:ptCount val="1"/>
                <c:pt idx="0">
                  <c:v>13</c:v>
                </c:pt>
              </c:numCache>
            </c:numRef>
          </c:xVal>
          <c:yVal>
            <c:numRef>
              <c:f>Análisis!$C$6</c:f>
              <c:numCache>
                <c:formatCode>General</c:formatCode>
                <c:ptCount val="1"/>
                <c:pt idx="0">
                  <c:v>11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Análisis!$A$7</c:f>
              <c:strCache>
                <c:ptCount val="1"/>
                <c:pt idx="0">
                  <c:v>P4</c:v>
                </c:pt>
              </c:strCache>
            </c:strRef>
          </c:tx>
          <c:spPr>
            <a:solidFill>
              <a:srgbClr val="2e75b6"/>
            </a:solidFill>
            <a:ln w="28440">
              <a:noFill/>
            </a:ln>
          </c:spPr>
          <c:marker>
            <c:symbol val="circle"/>
            <c:size val="10"/>
            <c:spPr>
              <a:solidFill>
                <a:srgbClr val="2e75b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Análisis!$D$7</c:f>
              <c:numCache>
                <c:formatCode>General</c:formatCode>
                <c:ptCount val="1"/>
                <c:pt idx="0">
                  <c:v>14</c:v>
                </c:pt>
              </c:numCache>
            </c:numRef>
          </c:xVal>
          <c:yVal>
            <c:numRef>
              <c:f>Análisis!$C$7</c:f>
              <c:numCache>
                <c:formatCode>General</c:formatCode>
                <c:ptCount val="1"/>
                <c:pt idx="0">
                  <c:v>15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Análisis!$A$8</c:f>
              <c:strCache>
                <c:ptCount val="1"/>
                <c:pt idx="0">
                  <c:v>P5</c:v>
                </c:pt>
              </c:strCache>
            </c:strRef>
          </c:tx>
          <c:spPr>
            <a:solidFill>
              <a:srgbClr val="2e75b6"/>
            </a:solidFill>
            <a:ln w="28440">
              <a:noFill/>
            </a:ln>
          </c:spPr>
          <c:marker>
            <c:symbol val="circle"/>
            <c:size val="10"/>
            <c:spPr>
              <a:solidFill>
                <a:srgbClr val="2e75b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Análisis!$D$8</c:f>
              <c:numCache>
                <c:formatCode>General</c:formatCode>
                <c:ptCount val="1"/>
                <c:pt idx="0">
                  <c:v>14</c:v>
                </c:pt>
              </c:numCache>
            </c:numRef>
          </c:xVal>
          <c:yVal>
            <c:numRef>
              <c:f>Análisis!$C$8</c:f>
              <c:numCache>
                <c:formatCode>General</c:formatCode>
                <c:ptCount val="1"/>
                <c:pt idx="0">
                  <c:v>6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Análisis!$A$9</c:f>
              <c:strCache>
                <c:ptCount val="1"/>
                <c:pt idx="0">
                  <c:v>P6</c:v>
                </c:pt>
              </c:strCache>
            </c:strRef>
          </c:tx>
          <c:spPr>
            <a:solidFill>
              <a:srgbClr val="2e75b6"/>
            </a:solidFill>
            <a:ln w="28440">
              <a:noFill/>
            </a:ln>
          </c:spPr>
          <c:marker>
            <c:symbol val="circle"/>
            <c:size val="10"/>
            <c:spPr>
              <a:solidFill>
                <a:srgbClr val="2e75b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Análisis!$D$9</c:f>
              <c:numCache>
                <c:formatCode>General</c:formatCode>
                <c:ptCount val="1"/>
                <c:pt idx="0">
                  <c:v>15</c:v>
                </c:pt>
              </c:numCache>
            </c:numRef>
          </c:xVal>
          <c:yVal>
            <c:numRef>
              <c:f>Análisis!$C$9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Análisis!$A$10</c:f>
              <c:strCache>
                <c:ptCount val="1"/>
                <c:pt idx="0">
                  <c:v>P7</c:v>
                </c:pt>
              </c:strCache>
            </c:strRef>
          </c:tx>
          <c:spPr>
            <a:solidFill>
              <a:srgbClr val="2e75b6"/>
            </a:solidFill>
            <a:ln w="28440">
              <a:noFill/>
            </a:ln>
          </c:spPr>
          <c:marker>
            <c:symbol val="circle"/>
            <c:size val="10"/>
            <c:spPr>
              <a:solidFill>
                <a:srgbClr val="2e75b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Análisis!$D$10</c:f>
              <c:numCache>
                <c:formatCode>General</c:formatCode>
                <c:ptCount val="1"/>
                <c:pt idx="0">
                  <c:v>21</c:v>
                </c:pt>
              </c:numCache>
            </c:numRef>
          </c:xVal>
          <c:yVal>
            <c:numRef>
              <c:f>Análisis!$C$10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Análisis!$A$11</c:f>
              <c:strCache>
                <c:ptCount val="1"/>
                <c:pt idx="0">
                  <c:v>P8</c:v>
                </c:pt>
              </c:strCache>
            </c:strRef>
          </c:tx>
          <c:spPr>
            <a:solidFill>
              <a:srgbClr val="2e75b6"/>
            </a:solidFill>
            <a:ln w="28440">
              <a:noFill/>
            </a:ln>
          </c:spPr>
          <c:marker>
            <c:symbol val="circle"/>
            <c:size val="10"/>
            <c:spPr>
              <a:solidFill>
                <a:srgbClr val="2e75b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Análisis!$D$11</c:f>
              <c:numCache>
                <c:formatCode>General</c:formatCode>
                <c:ptCount val="1"/>
                <c:pt idx="0">
                  <c:v>14</c:v>
                </c:pt>
              </c:numCache>
            </c:numRef>
          </c:xVal>
          <c:yVal>
            <c:numRef>
              <c:f>Análisis!$C$11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Análisis!$A$12</c:f>
              <c:strCache>
                <c:ptCount val="1"/>
                <c:pt idx="0">
                  <c:v>P9</c:v>
                </c:pt>
              </c:strCache>
            </c:strRef>
          </c:tx>
          <c:spPr>
            <a:solidFill>
              <a:srgbClr val="2e75b6"/>
            </a:solidFill>
            <a:ln w="28440">
              <a:noFill/>
            </a:ln>
          </c:spPr>
          <c:marker>
            <c:symbol val="circle"/>
            <c:size val="10"/>
            <c:spPr>
              <a:solidFill>
                <a:srgbClr val="2e75b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Análisis!$D$12</c:f>
              <c:numCache>
                <c:formatCode>General</c:formatCode>
                <c:ptCount val="1"/>
                <c:pt idx="0">
                  <c:v>16</c:v>
                </c:pt>
              </c:numCache>
            </c:numRef>
          </c:xVal>
          <c:yVal>
            <c:numRef>
              <c:f>Análisis!$C$12</c:f>
              <c:numCache>
                <c:formatCode>General</c:formatCode>
                <c:ptCount val="1"/>
                <c:pt idx="0">
                  <c:v>14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Análisis!$A$13</c:f>
              <c:strCache>
                <c:ptCount val="1"/>
                <c:pt idx="0">
                  <c:v>P10</c:v>
                </c:pt>
              </c:strCache>
            </c:strRef>
          </c:tx>
          <c:spPr>
            <a:solidFill>
              <a:srgbClr val="2e75b6"/>
            </a:solidFill>
            <a:ln w="28440">
              <a:noFill/>
            </a:ln>
          </c:spPr>
          <c:marker>
            <c:symbol val="circle"/>
            <c:size val="10"/>
            <c:spPr>
              <a:solidFill>
                <a:srgbClr val="2e75b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Análisis!$D$13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Análisis!$C$13</c:f>
              <c:numCache>
                <c:formatCode>General</c:formatCode>
                <c:ptCount val="1"/>
                <c:pt idx="0">
                  <c:v>16</c:v>
                </c:pt>
              </c:numCache>
            </c:numRef>
          </c:yVal>
          <c:smooth val="1"/>
        </c:ser>
        <c:ser>
          <c:idx val="10"/>
          <c:order val="10"/>
          <c:tx>
            <c:strRef>
              <c:f>Análisis!$A$14</c:f>
              <c:strCache>
                <c:ptCount val="1"/>
                <c:pt idx="0">
                  <c:v>P11</c:v>
                </c:pt>
              </c:strCache>
            </c:strRef>
          </c:tx>
          <c:spPr>
            <a:solidFill>
              <a:srgbClr val="2e75b6"/>
            </a:solidFill>
            <a:ln w="28440">
              <a:noFill/>
            </a:ln>
          </c:spPr>
          <c:marker>
            <c:symbol val="circle"/>
            <c:size val="10"/>
            <c:spPr>
              <a:solidFill>
                <a:srgbClr val="2e75b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Análisis!$D$14</c:f>
              <c:numCache>
                <c:formatCode>General</c:formatCode>
                <c:ptCount val="1"/>
                <c:pt idx="0">
                  <c:v>13</c:v>
                </c:pt>
              </c:numCache>
            </c:numRef>
          </c:xVal>
          <c:yVal>
            <c:numRef>
              <c:f>Análisis!$C$14</c:f>
              <c:numCache>
                <c:formatCode>General</c:formatCode>
                <c:ptCount val="1"/>
                <c:pt idx="0">
                  <c:v>18</c:v>
                </c:pt>
              </c:numCache>
            </c:numRef>
          </c:yVal>
          <c:smooth val="1"/>
        </c:ser>
        <c:ser>
          <c:idx val="11"/>
          <c:order val="11"/>
          <c:tx>
            <c:strRef>
              <c:f>Análisis!$A$15</c:f>
              <c:strCache>
                <c:ptCount val="1"/>
                <c:pt idx="0">
                  <c:v>P12</c:v>
                </c:pt>
              </c:strCache>
            </c:strRef>
          </c:tx>
          <c:spPr>
            <a:solidFill>
              <a:srgbClr val="2e75b6"/>
            </a:solidFill>
            <a:ln w="28440">
              <a:noFill/>
            </a:ln>
          </c:spPr>
          <c:marker>
            <c:symbol val="circle"/>
            <c:size val="10"/>
            <c:spPr>
              <a:solidFill>
                <a:srgbClr val="2e75b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Análisis!$D$15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Análisis!$C$15</c:f>
              <c:numCache>
                <c:formatCode>General</c:formatCode>
                <c:ptCount val="1"/>
                <c:pt idx="0">
                  <c:v>21</c:v>
                </c:pt>
              </c:numCache>
            </c:numRef>
          </c:yVal>
          <c:smooth val="1"/>
        </c:ser>
        <c:ser>
          <c:idx val="12"/>
          <c:order val="12"/>
          <c:tx>
            <c:strRef>
              <c:f>Análisis!$A$27</c:f>
              <c:strCache>
                <c:ptCount val="1"/>
                <c:pt idx="0">
                  <c:v>Umbral dependencia</c:v>
                </c:pt>
              </c:strCache>
            </c:strRef>
          </c:tx>
          <c:spPr>
            <a:solidFill>
              <a:srgbClr val="c00000"/>
            </a:solidFill>
            <a:ln w="1908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Análisis!$B$27:$B$28</c:f>
              <c:numCache>
                <c:formatCode>0.0</c:formatCode>
                <c:ptCount val="2"/>
                <c:pt idx="0">
                  <c:v>11.75</c:v>
                </c:pt>
                <c:pt idx="1">
                  <c:v>11.75</c:v>
                </c:pt>
              </c:numCache>
            </c:numRef>
          </c:xVal>
          <c:yVal>
            <c:numRef>
              <c:f>Análisis!$C$27:$C$28</c:f>
              <c:numCache>
                <c:formatCode>General</c:formatCode>
                <c:ptCount val="2"/>
                <c:pt idx="0">
                  <c:v>0</c:v>
                </c:pt>
                <c:pt idx="1">
                  <c:v>25</c:v>
                </c:pt>
              </c:numCache>
            </c:numRef>
          </c:yVal>
          <c:smooth val="1"/>
        </c:ser>
        <c:ser>
          <c:idx val="13"/>
          <c:order val="13"/>
          <c:tx>
            <c:strRef>
              <c:f>Análisis!$A$29</c:f>
              <c:strCache>
                <c:ptCount val="1"/>
                <c:pt idx="0">
                  <c:v>Umbral influencia</c:v>
                </c:pt>
              </c:strCache>
            </c:strRef>
          </c:tx>
          <c:spPr>
            <a:solidFill>
              <a:srgbClr val="c00000"/>
            </a:solidFill>
            <a:ln w="1908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Análisis!$B$29:$B$30</c:f>
              <c:numCache>
                <c:formatCode>General</c:formatCode>
                <c:ptCount val="2"/>
                <c:pt idx="0">
                  <c:v>0</c:v>
                </c:pt>
                <c:pt idx="1">
                  <c:v>25</c:v>
                </c:pt>
              </c:numCache>
            </c:numRef>
          </c:xVal>
          <c:yVal>
            <c:numRef>
              <c:f>Análisis!$C$29:$C$30</c:f>
              <c:numCache>
                <c:formatCode>0.0</c:formatCode>
                <c:ptCount val="2"/>
                <c:pt idx="0">
                  <c:v>11.75</c:v>
                </c:pt>
                <c:pt idx="1">
                  <c:v>11.75</c:v>
                </c:pt>
              </c:numCache>
            </c:numRef>
          </c:yVal>
          <c:smooth val="1"/>
        </c:ser>
        <c:ser>
          <c:idx val="14"/>
          <c:order val="14"/>
          <c:tx>
            <c:strRef>
              <c:f>Análisis!$A$31</c:f>
              <c:strCache>
                <c:ptCount val="1"/>
                <c:pt idx="0">
                  <c:v>ACTIVOS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1" sz="1200" spc="-1" strike="noStrike">
                    <a:solidFill>
                      <a:srgbClr val="7f7f7f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Análisis!$B$31</c:f>
              <c:numCache>
                <c:formatCode>General</c:formatCode>
                <c:ptCount val="1"/>
                <c:pt idx="0">
                  <c:v>3.25</c:v>
                </c:pt>
              </c:numCache>
            </c:numRef>
          </c:xVal>
          <c:yVal>
            <c:numRef>
              <c:f>Análisis!$C$31</c:f>
              <c:numCache>
                <c:formatCode>General</c:formatCode>
                <c:ptCount val="1"/>
                <c:pt idx="0">
                  <c:v>23.75</c:v>
                </c:pt>
              </c:numCache>
            </c:numRef>
          </c:yVal>
          <c:smooth val="1"/>
        </c:ser>
        <c:ser>
          <c:idx val="15"/>
          <c:order val="15"/>
          <c:tx>
            <c:strRef>
              <c:f>Análisis!$A$32</c:f>
              <c:strCache>
                <c:ptCount val="1"/>
                <c:pt idx="0">
                  <c:v>CRÍTICOS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1" sz="1200" spc="-1" strike="noStrike">
                    <a:solidFill>
                      <a:srgbClr val="7f7f7f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Análisis!$B$32</c:f>
              <c:numCache>
                <c:formatCode>General</c:formatCode>
                <c:ptCount val="1"/>
                <c:pt idx="0">
                  <c:v>21.25</c:v>
                </c:pt>
              </c:numCache>
            </c:numRef>
          </c:xVal>
          <c:yVal>
            <c:numRef>
              <c:f>Análisis!$C$32</c:f>
              <c:numCache>
                <c:formatCode>General</c:formatCode>
                <c:ptCount val="1"/>
                <c:pt idx="0">
                  <c:v>23.75</c:v>
                </c:pt>
              </c:numCache>
            </c:numRef>
          </c:yVal>
          <c:smooth val="1"/>
        </c:ser>
        <c:ser>
          <c:idx val="16"/>
          <c:order val="16"/>
          <c:tx>
            <c:strRef>
              <c:f>Análisis!$A$33</c:f>
              <c:strCache>
                <c:ptCount val="1"/>
                <c:pt idx="0">
                  <c:v>PASIVOS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1" sz="1200" spc="-1" strike="noStrike">
                    <a:solidFill>
                      <a:srgbClr val="7f7f7f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Análisis!$B$33</c:f>
              <c:numCache>
                <c:formatCode>General</c:formatCode>
                <c:ptCount val="1"/>
                <c:pt idx="0">
                  <c:v>21.25</c:v>
                </c:pt>
              </c:numCache>
            </c:numRef>
          </c:xVal>
          <c:yVal>
            <c:numRef>
              <c:f>Análisis!$C$33</c:f>
              <c:numCache>
                <c:formatCode>General</c:formatCode>
                <c:ptCount val="1"/>
                <c:pt idx="0">
                  <c:v>1.25</c:v>
                </c:pt>
              </c:numCache>
            </c:numRef>
          </c:yVal>
          <c:smooth val="1"/>
        </c:ser>
        <c:ser>
          <c:idx val="17"/>
          <c:order val="17"/>
          <c:tx>
            <c:strRef>
              <c:f>Análisis!$A$34</c:f>
              <c:strCache>
                <c:ptCount val="1"/>
                <c:pt idx="0">
                  <c:v>INDIFERENTES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1" sz="1200" spc="-1" strike="noStrike">
                    <a:solidFill>
                      <a:srgbClr val="7f7f7f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Análisis!$B$34</c:f>
              <c:numCache>
                <c:formatCode>General</c:formatCode>
                <c:ptCount val="1"/>
                <c:pt idx="0">
                  <c:v>3.5</c:v>
                </c:pt>
              </c:numCache>
            </c:numRef>
          </c:xVal>
          <c:yVal>
            <c:numRef>
              <c:f>Análisis!$C$34</c:f>
              <c:numCache>
                <c:formatCode>General</c:formatCode>
                <c:ptCount val="1"/>
                <c:pt idx="0">
                  <c:v>1.25</c:v>
                </c:pt>
              </c:numCache>
            </c:numRef>
          </c:yVal>
          <c:smooth val="1"/>
        </c:ser>
        <c:axId val="69078027"/>
        <c:axId val="68344038"/>
      </c:scatterChart>
      <c:valAx>
        <c:axId val="69078027"/>
        <c:scaling>
          <c:orientation val="minMax"/>
          <c:max val="25"/>
          <c:min val="0"/>
        </c:scaling>
        <c:delete val="0"/>
        <c:axPos val="b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Dependencia (pasiva): cuánto recibe influencia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44038"/>
        <c:crosses val="autoZero"/>
        <c:crossBetween val="midCat"/>
        <c:majorUnit val="5"/>
      </c:valAx>
      <c:valAx>
        <c:axId val="68344038"/>
        <c:scaling>
          <c:orientation val="minMax"/>
          <c:max val="25"/>
          <c:min val="0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Influencia (activa): cuánto influye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078027"/>
        <c:crosses val="autoZero"/>
        <c:crossBetween val="midCat"/>
        <c:majorUnit val="5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0</xdr:rowOff>
    </xdr:from>
    <xdr:to>
      <xdr:col>22</xdr:col>
      <xdr:colOff>78480</xdr:colOff>
      <xdr:row>17</xdr:row>
      <xdr:rowOff>18000</xdr:rowOff>
    </xdr:to>
    <xdr:graphicFrame>
      <xdr:nvGraphicFramePr>
        <xdr:cNvPr id="0" name="Chart 1"/>
        <xdr:cNvGraphicFramePr/>
      </xdr:nvGraphicFramePr>
      <xdr:xfrm>
        <a:off x="10620360" y="542880"/>
        <a:ext cx="863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14" min="3" style="0" width="7"/>
    <col collapsed="false" customWidth="true" hidden="false" outlineLevel="0" max="15" min="15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30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customFormat="false" ht="21.75" hidden="false" customHeight="tru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</row>
    <row r="6" customFormat="false" ht="31.5" hidden="false" customHeight="true" outlineLevel="0" collapsed="false">
      <c r="A6" s="4" t="s">
        <v>4</v>
      </c>
      <c r="B6" s="5" t="s">
        <v>17</v>
      </c>
      <c r="C6" s="6" t="n">
        <v>0</v>
      </c>
      <c r="D6" s="7" t="n">
        <v>3</v>
      </c>
      <c r="E6" s="7" t="n">
        <v>3</v>
      </c>
      <c r="F6" s="7" t="n">
        <v>1</v>
      </c>
      <c r="G6" s="7" t="n">
        <v>2</v>
      </c>
      <c r="H6" s="7" t="n">
        <v>2</v>
      </c>
      <c r="I6" s="7" t="n">
        <v>2</v>
      </c>
      <c r="J6" s="7" t="n">
        <v>1</v>
      </c>
      <c r="K6" s="7" t="n">
        <v>1</v>
      </c>
      <c r="L6" s="7" t="n">
        <v>1</v>
      </c>
      <c r="M6" s="7" t="n">
        <v>2</v>
      </c>
      <c r="N6" s="7" t="n">
        <v>0</v>
      </c>
      <c r="O6" s="8" t="n">
        <f aca="false">SUM(C6:N6)</f>
        <v>18</v>
      </c>
    </row>
    <row r="7" customFormat="false" ht="31.5" hidden="false" customHeight="true" outlineLevel="0" collapsed="false">
      <c r="A7" s="4" t="s">
        <v>5</v>
      </c>
      <c r="B7" s="5" t="s">
        <v>18</v>
      </c>
      <c r="C7" s="7" t="n">
        <v>0</v>
      </c>
      <c r="D7" s="6" t="n">
        <v>0</v>
      </c>
      <c r="E7" s="7" t="n">
        <v>2</v>
      </c>
      <c r="F7" s="7" t="n">
        <v>3</v>
      </c>
      <c r="G7" s="7" t="n">
        <v>2</v>
      </c>
      <c r="H7" s="7" t="n">
        <v>0</v>
      </c>
      <c r="I7" s="7" t="n">
        <v>3</v>
      </c>
      <c r="J7" s="7" t="n">
        <v>2</v>
      </c>
      <c r="K7" s="7" t="n">
        <v>2</v>
      </c>
      <c r="L7" s="7" t="n">
        <v>0</v>
      </c>
      <c r="M7" s="7" t="n">
        <v>1</v>
      </c>
      <c r="N7" s="7" t="n">
        <v>0</v>
      </c>
      <c r="O7" s="8" t="n">
        <f aca="false">SUM(C7:N7)</f>
        <v>15</v>
      </c>
    </row>
    <row r="8" customFormat="false" ht="31.5" hidden="false" customHeight="true" outlineLevel="0" collapsed="false">
      <c r="A8" s="4" t="s">
        <v>6</v>
      </c>
      <c r="B8" s="5" t="s">
        <v>19</v>
      </c>
      <c r="C8" s="7" t="n">
        <v>0</v>
      </c>
      <c r="D8" s="7" t="n">
        <v>1</v>
      </c>
      <c r="E8" s="6" t="n">
        <v>0</v>
      </c>
      <c r="F8" s="7" t="n">
        <v>1</v>
      </c>
      <c r="G8" s="7" t="n">
        <v>1</v>
      </c>
      <c r="H8" s="7" t="n">
        <v>1</v>
      </c>
      <c r="I8" s="7" t="n">
        <v>3</v>
      </c>
      <c r="J8" s="7" t="n">
        <v>1</v>
      </c>
      <c r="K8" s="7" t="n">
        <v>2</v>
      </c>
      <c r="L8" s="7" t="n">
        <v>0</v>
      </c>
      <c r="M8" s="7" t="n">
        <v>1</v>
      </c>
      <c r="N8" s="7" t="n">
        <v>0</v>
      </c>
      <c r="O8" s="8" t="n">
        <f aca="false">SUM(C8:N8)</f>
        <v>11</v>
      </c>
    </row>
    <row r="9" customFormat="false" ht="31.5" hidden="false" customHeight="true" outlineLevel="0" collapsed="false">
      <c r="A9" s="4" t="s">
        <v>7</v>
      </c>
      <c r="B9" s="5" t="s">
        <v>20</v>
      </c>
      <c r="C9" s="7" t="n">
        <v>0</v>
      </c>
      <c r="D9" s="7" t="n">
        <v>0</v>
      </c>
      <c r="E9" s="7" t="n">
        <v>2</v>
      </c>
      <c r="F9" s="6" t="n">
        <v>0</v>
      </c>
      <c r="G9" s="7" t="n">
        <v>2</v>
      </c>
      <c r="H9" s="7" t="n">
        <v>2</v>
      </c>
      <c r="I9" s="7" t="n">
        <v>3</v>
      </c>
      <c r="J9" s="7" t="n">
        <v>3</v>
      </c>
      <c r="K9" s="7" t="n">
        <v>2</v>
      </c>
      <c r="L9" s="7" t="n">
        <v>0</v>
      </c>
      <c r="M9" s="7" t="n">
        <v>1</v>
      </c>
      <c r="N9" s="7" t="n">
        <v>0</v>
      </c>
      <c r="O9" s="8" t="n">
        <f aca="false">SUM(C9:N9)</f>
        <v>15</v>
      </c>
    </row>
    <row r="10" customFormat="false" ht="31.5" hidden="false" customHeight="true" outlineLevel="0" collapsed="false">
      <c r="A10" s="4" t="s">
        <v>8</v>
      </c>
      <c r="B10" s="5" t="s">
        <v>21</v>
      </c>
      <c r="C10" s="7" t="n">
        <v>0</v>
      </c>
      <c r="D10" s="7" t="n">
        <v>0</v>
      </c>
      <c r="E10" s="7" t="n">
        <v>0</v>
      </c>
      <c r="F10" s="7" t="n">
        <v>1</v>
      </c>
      <c r="G10" s="6" t="n">
        <v>0</v>
      </c>
      <c r="H10" s="7" t="n">
        <v>2</v>
      </c>
      <c r="I10" s="7" t="n">
        <v>2</v>
      </c>
      <c r="J10" s="7" t="n">
        <v>0</v>
      </c>
      <c r="K10" s="7" t="n">
        <v>1</v>
      </c>
      <c r="L10" s="7" t="n">
        <v>0</v>
      </c>
      <c r="M10" s="7" t="n">
        <v>0</v>
      </c>
      <c r="N10" s="7" t="n">
        <v>0</v>
      </c>
      <c r="O10" s="8" t="n">
        <f aca="false">SUM(C10:N10)</f>
        <v>6</v>
      </c>
    </row>
    <row r="11" customFormat="false" ht="31.5" hidden="false" customHeight="true" outlineLevel="0" collapsed="false">
      <c r="A11" s="4" t="s">
        <v>9</v>
      </c>
      <c r="B11" s="5" t="s">
        <v>22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1</v>
      </c>
      <c r="H11" s="6" t="n">
        <v>0</v>
      </c>
      <c r="I11" s="7" t="n">
        <v>1</v>
      </c>
      <c r="J11" s="7" t="n">
        <v>0</v>
      </c>
      <c r="K11" s="7" t="n">
        <v>1</v>
      </c>
      <c r="L11" s="7" t="n">
        <v>0</v>
      </c>
      <c r="M11" s="7" t="n">
        <v>0</v>
      </c>
      <c r="N11" s="7" t="n">
        <v>0</v>
      </c>
      <c r="O11" s="8" t="n">
        <f aca="false">SUM(C11:N11)</f>
        <v>3</v>
      </c>
    </row>
    <row r="12" customFormat="false" ht="31.5" hidden="false" customHeight="true" outlineLevel="0" collapsed="false">
      <c r="A12" s="4" t="s">
        <v>10</v>
      </c>
      <c r="B12" s="5" t="s">
        <v>23</v>
      </c>
      <c r="C12" s="7" t="n">
        <v>0</v>
      </c>
      <c r="D12" s="7" t="n">
        <v>1</v>
      </c>
      <c r="E12" s="7" t="n">
        <v>0</v>
      </c>
      <c r="F12" s="7" t="n">
        <v>0</v>
      </c>
      <c r="G12" s="7" t="n">
        <v>0</v>
      </c>
      <c r="H12" s="7" t="n">
        <v>0</v>
      </c>
      <c r="I12" s="6" t="n">
        <v>0</v>
      </c>
      <c r="J12" s="7" t="n">
        <v>0</v>
      </c>
      <c r="K12" s="7" t="n">
        <v>0</v>
      </c>
      <c r="L12" s="7" t="n">
        <v>0</v>
      </c>
      <c r="M12" s="7" t="n">
        <v>1</v>
      </c>
      <c r="N12" s="7" t="n">
        <v>0</v>
      </c>
      <c r="O12" s="8" t="n">
        <f aca="false">SUM(C12:N12)</f>
        <v>2</v>
      </c>
    </row>
    <row r="13" customFormat="false" ht="31.5" hidden="false" customHeight="true" outlineLevel="0" collapsed="false">
      <c r="A13" s="4" t="s">
        <v>11</v>
      </c>
      <c r="B13" s="5" t="s">
        <v>24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1</v>
      </c>
      <c r="I13" s="7" t="n">
        <v>1</v>
      </c>
      <c r="J13" s="6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8" t="n">
        <f aca="false">SUM(C13:N13)</f>
        <v>2</v>
      </c>
    </row>
    <row r="14" customFormat="false" ht="31.5" hidden="false" customHeight="true" outlineLevel="0" collapsed="false">
      <c r="A14" s="4" t="s">
        <v>12</v>
      </c>
      <c r="B14" s="5" t="s">
        <v>25</v>
      </c>
      <c r="C14" s="7" t="n">
        <v>0</v>
      </c>
      <c r="D14" s="7" t="n">
        <v>1</v>
      </c>
      <c r="E14" s="7" t="n">
        <v>2</v>
      </c>
      <c r="F14" s="7" t="n">
        <v>2</v>
      </c>
      <c r="G14" s="7" t="n">
        <v>2</v>
      </c>
      <c r="H14" s="7" t="n">
        <v>1</v>
      </c>
      <c r="I14" s="7" t="n">
        <v>2</v>
      </c>
      <c r="J14" s="7" t="n">
        <v>2</v>
      </c>
      <c r="K14" s="6" t="n">
        <v>0</v>
      </c>
      <c r="L14" s="7" t="n">
        <v>0</v>
      </c>
      <c r="M14" s="7" t="n">
        <v>2</v>
      </c>
      <c r="N14" s="7" t="n">
        <v>0</v>
      </c>
      <c r="O14" s="8" t="n">
        <f aca="false">SUM(C14:N14)</f>
        <v>14</v>
      </c>
    </row>
    <row r="15" customFormat="false" ht="31.5" hidden="false" customHeight="true" outlineLevel="0" collapsed="false">
      <c r="A15" s="4" t="s">
        <v>13</v>
      </c>
      <c r="B15" s="5" t="s">
        <v>26</v>
      </c>
      <c r="C15" s="7" t="n">
        <v>2</v>
      </c>
      <c r="D15" s="7" t="n">
        <v>1</v>
      </c>
      <c r="E15" s="7" t="n">
        <v>1</v>
      </c>
      <c r="F15" s="7" t="n">
        <v>2</v>
      </c>
      <c r="G15" s="7" t="n">
        <v>1</v>
      </c>
      <c r="H15" s="7" t="n">
        <v>1</v>
      </c>
      <c r="I15" s="7" t="n">
        <v>1</v>
      </c>
      <c r="J15" s="7" t="n">
        <v>1</v>
      </c>
      <c r="K15" s="7" t="n">
        <v>2</v>
      </c>
      <c r="L15" s="6" t="n">
        <v>0</v>
      </c>
      <c r="M15" s="7" t="n">
        <v>3</v>
      </c>
      <c r="N15" s="7" t="n">
        <v>1</v>
      </c>
      <c r="O15" s="8" t="n">
        <f aca="false">SUM(C15:N15)</f>
        <v>16</v>
      </c>
    </row>
    <row r="16" customFormat="false" ht="31.5" hidden="false" customHeight="true" outlineLevel="0" collapsed="false">
      <c r="A16" s="4" t="s">
        <v>14</v>
      </c>
      <c r="B16" s="5" t="s">
        <v>27</v>
      </c>
      <c r="C16" s="7" t="n">
        <v>2</v>
      </c>
      <c r="D16" s="7" t="n">
        <v>1</v>
      </c>
      <c r="E16" s="7" t="n">
        <v>1</v>
      </c>
      <c r="F16" s="7" t="n">
        <v>1</v>
      </c>
      <c r="G16" s="7" t="n">
        <v>1</v>
      </c>
      <c r="H16" s="7" t="n">
        <v>2</v>
      </c>
      <c r="I16" s="7" t="n">
        <v>2</v>
      </c>
      <c r="J16" s="7" t="n">
        <v>2</v>
      </c>
      <c r="K16" s="7" t="n">
        <v>3</v>
      </c>
      <c r="L16" s="7" t="n">
        <v>2</v>
      </c>
      <c r="M16" s="6" t="n">
        <v>0</v>
      </c>
      <c r="N16" s="7" t="n">
        <v>1</v>
      </c>
      <c r="O16" s="8" t="n">
        <f aca="false">SUM(C16:N16)</f>
        <v>18</v>
      </c>
    </row>
    <row r="17" customFormat="false" ht="31.5" hidden="false" customHeight="true" outlineLevel="0" collapsed="false">
      <c r="A17" s="4" t="s">
        <v>15</v>
      </c>
      <c r="B17" s="5" t="s">
        <v>28</v>
      </c>
      <c r="C17" s="7" t="n">
        <v>1</v>
      </c>
      <c r="D17" s="7" t="n">
        <v>2</v>
      </c>
      <c r="E17" s="7" t="n">
        <v>2</v>
      </c>
      <c r="F17" s="7" t="n">
        <v>3</v>
      </c>
      <c r="G17" s="7" t="n">
        <v>2</v>
      </c>
      <c r="H17" s="7" t="n">
        <v>3</v>
      </c>
      <c r="I17" s="7" t="n">
        <v>1</v>
      </c>
      <c r="J17" s="7" t="n">
        <v>2</v>
      </c>
      <c r="K17" s="7" t="n">
        <v>2</v>
      </c>
      <c r="L17" s="7" t="n">
        <v>1</v>
      </c>
      <c r="M17" s="7" t="n">
        <v>2</v>
      </c>
      <c r="N17" s="6" t="n">
        <v>0</v>
      </c>
      <c r="O17" s="8" t="n">
        <f aca="false">SUM(C17:N17)</f>
        <v>21</v>
      </c>
    </row>
    <row r="18" customFormat="false" ht="19.5" hidden="false" customHeight="true" outlineLevel="0" collapsed="false">
      <c r="A18" s="9" t="s">
        <v>29</v>
      </c>
      <c r="B18" s="9"/>
      <c r="C18" s="10" t="n">
        <f aca="false">SUM(C6:C17)</f>
        <v>5</v>
      </c>
      <c r="D18" s="10" t="n">
        <f aca="false">SUM(D6:D17)</f>
        <v>10</v>
      </c>
      <c r="E18" s="10" t="n">
        <f aca="false">SUM(E6:E17)</f>
        <v>13</v>
      </c>
      <c r="F18" s="10" t="n">
        <f aca="false">SUM(F6:F17)</f>
        <v>14</v>
      </c>
      <c r="G18" s="10" t="n">
        <f aca="false">SUM(G6:G17)</f>
        <v>14</v>
      </c>
      <c r="H18" s="10" t="n">
        <f aca="false">SUM(H6:H17)</f>
        <v>15</v>
      </c>
      <c r="I18" s="10" t="n">
        <f aca="false">SUM(I6:I17)</f>
        <v>21</v>
      </c>
      <c r="J18" s="10" t="n">
        <f aca="false">SUM(J6:J17)</f>
        <v>14</v>
      </c>
      <c r="K18" s="10" t="n">
        <f aca="false">SUM(K6:K17)</f>
        <v>16</v>
      </c>
      <c r="L18" s="10" t="n">
        <f aca="false">SUM(L6:L17)</f>
        <v>4</v>
      </c>
      <c r="M18" s="10" t="n">
        <f aca="false">SUM(M6:M17)</f>
        <v>13</v>
      </c>
      <c r="N18" s="10" t="n">
        <f aca="false">SUM(N6:N17)</f>
        <v>2</v>
      </c>
      <c r="O18" s="10" t="n">
        <f aca="false">SUM(O6:O17)</f>
        <v>141</v>
      </c>
    </row>
    <row r="20" customFormat="false" ht="15" hidden="false" customHeight="false" outlineLevel="0" collapsed="false">
      <c r="A20" s="11" t="s">
        <v>30</v>
      </c>
    </row>
    <row r="21" customFormat="false" ht="15" hidden="false" customHeight="false" outlineLevel="0" collapsed="false">
      <c r="B21" s="12" t="s">
        <v>31</v>
      </c>
    </row>
    <row r="22" customFormat="false" ht="15" hidden="false" customHeight="false" outlineLevel="0" collapsed="false">
      <c r="B22" s="12" t="s">
        <v>32</v>
      </c>
    </row>
    <row r="23" customFormat="false" ht="15" hidden="false" customHeight="false" outlineLevel="0" collapsed="false">
      <c r="B23" s="12" t="s">
        <v>33</v>
      </c>
    </row>
    <row r="24" customFormat="false" ht="15" hidden="false" customHeight="false" outlineLevel="0" collapsed="false">
      <c r="B24" s="12" t="s">
        <v>34</v>
      </c>
    </row>
    <row r="25" customFormat="false" ht="15" hidden="false" customHeight="false" outlineLevel="0" collapsed="false">
      <c r="A25" s="13" t="s">
        <v>35</v>
      </c>
    </row>
  </sheetData>
  <mergeCells count="3">
    <mergeCell ref="A1:O1"/>
    <mergeCell ref="A2:O3"/>
    <mergeCell ref="A18:B18"/>
  </mergeCells>
  <dataValidations count="1">
    <dataValidation allowBlank="false" error="Use un entero entre 0 y 3." errorStyle="stop" errorTitle="Valor no válido" operator="between" showDropDown="false" showErrorMessage="true" showInputMessage="false" sqref="D6:N6 C7:C17 E7:N7 D8:D17 F8:N8 E9:E17 G9:N9 F10:F17 H10:N10 G11:G17 I11:N11 H12:H17 J12:N12 I13:I17 K13:N13 J14:J17 L14:N14 K15:K17 M15:N15 L16:L17 N16 M17" type="whole">
      <formula1>0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14" t="s">
        <v>36</v>
      </c>
      <c r="B1" s="14"/>
      <c r="C1" s="14"/>
      <c r="D1" s="14"/>
      <c r="E1" s="14"/>
      <c r="F1" s="14"/>
      <c r="G1" s="14"/>
      <c r="H1" s="14"/>
    </row>
    <row r="3" customFormat="false" ht="33.75" hidden="false" customHeight="true" outlineLevel="0" collapsed="false">
      <c r="A3" s="3" t="s">
        <v>2</v>
      </c>
      <c r="B3" s="3" t="s">
        <v>3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</row>
    <row r="4" customFormat="false" ht="30" hidden="false" customHeight="true" outlineLevel="0" collapsed="false">
      <c r="A4" s="15" t="str">
        <f aca="false">'Matriz Vester'!A6</f>
        <v>P1</v>
      </c>
      <c r="B4" s="16" t="str">
        <f aca="false">'Matriz Vester'!B6</f>
        <v>Análisis y modelado UML incompletos (requisitos poco claros)</v>
      </c>
      <c r="C4" s="17" t="n">
        <f aca="false">'Matriz Vester'!O6</f>
        <v>18</v>
      </c>
      <c r="D4" s="17" t="n">
        <f aca="false">INDEX('Matriz Vester'!$C$18:$N$18,1,ROWS($D$4:D4))</f>
        <v>5</v>
      </c>
      <c r="E4" s="17" t="n">
        <f aca="false">C4*D4</f>
        <v>90</v>
      </c>
      <c r="F4" s="18" t="n">
        <f aca="false">IF(D4=0,"Exógeno",C4/D4*100)</f>
        <v>360</v>
      </c>
      <c r="G4" s="15" t="str">
        <f aca="false">IF(AND(C4&gt;$C$17,D4&gt;$C$18),"Crítico",IF(C4&gt;$C$17,"Activo",IF(D4&gt;$C$18,"Pasivo","Indiferente")))</f>
        <v>Activo</v>
      </c>
    </row>
    <row r="5" customFormat="false" ht="30" hidden="false" customHeight="true" outlineLevel="0" collapsed="false">
      <c r="A5" s="15" t="str">
        <f aca="false">'Matriz Vester'!A7</f>
        <v>P2</v>
      </c>
      <c r="B5" s="16" t="str">
        <f aca="false">'Matriz Vester'!B7</f>
        <v>Diseño de la base de datos relacional inconsistente (PostgreSQL)</v>
      </c>
      <c r="C5" s="17" t="n">
        <f aca="false">'Matriz Vester'!O7</f>
        <v>15</v>
      </c>
      <c r="D5" s="17" t="n">
        <f aca="false">INDEX('Matriz Vester'!$C$18:$N$18,1,ROWS($D$4:D5))</f>
        <v>10</v>
      </c>
      <c r="E5" s="17" t="n">
        <f aca="false">C5*D5</f>
        <v>150</v>
      </c>
      <c r="F5" s="18" t="n">
        <f aca="false">IF(D5=0,"Exógeno",C5/D5*100)</f>
        <v>150</v>
      </c>
      <c r="G5" s="15" t="str">
        <f aca="false">IF(AND(C5&gt;$C$17,D5&gt;$C$18),"Crítico",IF(C5&gt;$C$17,"Activo",IF(D5&gt;$C$18,"Pasivo","Indiferente")))</f>
        <v>Activo</v>
      </c>
    </row>
    <row r="6" customFormat="false" ht="30" hidden="false" customHeight="true" outlineLevel="0" collapsed="false">
      <c r="A6" s="15" t="str">
        <f aca="false">'Matriz Vester'!A8</f>
        <v>P3</v>
      </c>
      <c r="B6" s="16" t="str">
        <f aca="false">'Matriz Vester'!B8</f>
        <v>Reglas de negocio mal implementadas (estados, capacidad y reservas)</v>
      </c>
      <c r="C6" s="17" t="n">
        <f aca="false">'Matriz Vester'!O8</f>
        <v>11</v>
      </c>
      <c r="D6" s="17" t="n">
        <f aca="false">INDEX('Matriz Vester'!$C$18:$N$18,1,ROWS($D$4:D6))</f>
        <v>13</v>
      </c>
      <c r="E6" s="17" t="n">
        <f aca="false">C6*D6</f>
        <v>143</v>
      </c>
      <c r="F6" s="18" t="n">
        <f aca="false">IF(D6=0,"Exógeno",C6/D6*100)</f>
        <v>84.6153846153846</v>
      </c>
      <c r="G6" s="15" t="str">
        <f aca="false">IF(AND(C6&gt;$C$17,D6&gt;$C$18),"Crítico",IF(C6&gt;$C$17,"Activo",IF(D6&gt;$C$18,"Pasivo","Indiferente")))</f>
        <v>Pasivo</v>
      </c>
    </row>
    <row r="7" customFormat="false" ht="30" hidden="false" customHeight="true" outlineLevel="0" collapsed="false">
      <c r="A7" s="15" t="str">
        <f aca="false">'Matriz Vester'!A9</f>
        <v>P4</v>
      </c>
      <c r="B7" s="16" t="str">
        <f aca="false">'Matriz Vester'!B9</f>
        <v>Comunicación deficiente entre frontend, backend y base de datos</v>
      </c>
      <c r="C7" s="17" t="n">
        <f aca="false">'Matriz Vester'!O9</f>
        <v>15</v>
      </c>
      <c r="D7" s="17" t="n">
        <f aca="false">INDEX('Matriz Vester'!$C$18:$N$18,1,ROWS($D$4:D7))</f>
        <v>14</v>
      </c>
      <c r="E7" s="17" t="n">
        <f aca="false">C7*D7</f>
        <v>210</v>
      </c>
      <c r="F7" s="18" t="n">
        <f aca="false">IF(D7=0,"Exógeno",C7/D7*100)</f>
        <v>107.142857142857</v>
      </c>
      <c r="G7" s="15" t="str">
        <f aca="false">IF(AND(C7&gt;$C$17,D7&gt;$C$18),"Crítico",IF(C7&gt;$C$17,"Activo",IF(D7&gt;$C$18,"Pasivo","Indiferente")))</f>
        <v>Crítico</v>
      </c>
    </row>
    <row r="8" customFormat="false" ht="30" hidden="false" customHeight="true" outlineLevel="0" collapsed="false">
      <c r="A8" s="15" t="str">
        <f aca="false">'Matriz Vester'!A10</f>
        <v>P5</v>
      </c>
      <c r="B8" s="16" t="str">
        <f aca="false">'Matriz Vester'!B10</f>
        <v>Autenticación, registro y control de acceso por perfil débiles</v>
      </c>
      <c r="C8" s="17" t="n">
        <f aca="false">'Matriz Vester'!O10</f>
        <v>6</v>
      </c>
      <c r="D8" s="17" t="n">
        <f aca="false">INDEX('Matriz Vester'!$C$18:$N$18,1,ROWS($D$4:D8))</f>
        <v>14</v>
      </c>
      <c r="E8" s="17" t="n">
        <f aca="false">C8*D8</f>
        <v>84</v>
      </c>
      <c r="F8" s="18" t="n">
        <f aca="false">IF(D8=0,"Exógeno",C8/D8*100)</f>
        <v>42.8571428571429</v>
      </c>
      <c r="G8" s="15" t="str">
        <f aca="false">IF(AND(C8&gt;$C$17,D8&gt;$C$18),"Crítico",IF(C8&gt;$C$17,"Activo",IF(D8&gt;$C$18,"Pasivo","Indiferente")))</f>
        <v>Pasivo</v>
      </c>
    </row>
    <row r="9" customFormat="false" ht="30" hidden="false" customHeight="true" outlineLevel="0" collapsed="false">
      <c r="A9" s="15" t="str">
        <f aca="false">'Matriz Vester'!A11</f>
        <v>P6</v>
      </c>
      <c r="B9" s="16" t="str">
        <f aca="false">'Matriz Vester'!B11</f>
        <v>Interfaz de usuario poco usable o no responsiva</v>
      </c>
      <c r="C9" s="17" t="n">
        <f aca="false">'Matriz Vester'!O11</f>
        <v>3</v>
      </c>
      <c r="D9" s="17" t="n">
        <f aca="false">INDEX('Matriz Vester'!$C$18:$N$18,1,ROWS($D$4:D9))</f>
        <v>15</v>
      </c>
      <c r="E9" s="17" t="n">
        <f aca="false">C9*D9</f>
        <v>45</v>
      </c>
      <c r="F9" s="18" t="n">
        <f aca="false">IF(D9=0,"Exógeno",C9/D9*100)</f>
        <v>20</v>
      </c>
      <c r="G9" s="15" t="str">
        <f aca="false">IF(AND(C9&gt;$C$17,D9&gt;$C$18),"Crítico",IF(C9&gt;$C$17,"Activo",IF(D9&gt;$C$18,"Pasivo","Indiferente")))</f>
        <v>Pasivo</v>
      </c>
    </row>
    <row r="10" customFormat="false" ht="30" hidden="false" customHeight="true" outlineLevel="0" collapsed="false">
      <c r="A10" s="15" t="str">
        <f aca="false">'Matriz Vester'!A12</f>
        <v>P7</v>
      </c>
      <c r="B10" s="16" t="str">
        <f aca="false">'Matriz Vester'!B12</f>
        <v>Dashboard y reportes del administrador incorrectos o incompletos</v>
      </c>
      <c r="C10" s="17" t="n">
        <f aca="false">'Matriz Vester'!O12</f>
        <v>2</v>
      </c>
      <c r="D10" s="17" t="n">
        <f aca="false">INDEX('Matriz Vester'!$C$18:$N$18,1,ROWS($D$4:D10))</f>
        <v>21</v>
      </c>
      <c r="E10" s="17" t="n">
        <f aca="false">C10*D10</f>
        <v>42</v>
      </c>
      <c r="F10" s="18" t="n">
        <f aca="false">IF(D10=0,"Exógeno",C10/D10*100)</f>
        <v>9.52380952380952</v>
      </c>
      <c r="G10" s="15" t="str">
        <f aca="false">IF(AND(C10&gt;$C$17,D10&gt;$C$18),"Crítico",IF(C10&gt;$C$17,"Activo",IF(D10&gt;$C$18,"Pasivo","Indiferente")))</f>
        <v>Pasivo</v>
      </c>
    </row>
    <row r="11" customFormat="false" ht="30" hidden="false" customHeight="true" outlineLevel="0" collapsed="false">
      <c r="A11" s="15" t="str">
        <f aca="false">'Matriz Vester'!A13</f>
        <v>P8</v>
      </c>
      <c r="B11" s="16" t="str">
        <f aca="false">'Matriz Vester'!B13</f>
        <v>Mapa con ubicación en tiempo real impreciso o desactualizado</v>
      </c>
      <c r="C11" s="17" t="n">
        <f aca="false">'Matriz Vester'!O13</f>
        <v>2</v>
      </c>
      <c r="D11" s="17" t="n">
        <f aca="false">INDEX('Matriz Vester'!$C$18:$N$18,1,ROWS($D$4:D11))</f>
        <v>14</v>
      </c>
      <c r="E11" s="17" t="n">
        <f aca="false">C11*D11</f>
        <v>28</v>
      </c>
      <c r="F11" s="18" t="n">
        <f aca="false">IF(D11=0,"Exógeno",C11/D11*100)</f>
        <v>14.2857142857143</v>
      </c>
      <c r="G11" s="15" t="str">
        <f aca="false">IF(AND(C11&gt;$C$17,D11&gt;$C$18),"Crítico",IF(C11&gt;$C$17,"Activo",IF(D11&gt;$C$18,"Pasivo","Indiferente")))</f>
        <v>Pasivo</v>
      </c>
    </row>
    <row r="12" customFormat="false" ht="30" hidden="false" customHeight="true" outlineLevel="0" collapsed="false">
      <c r="A12" s="15" t="str">
        <f aca="false">'Matriz Vester'!A14</f>
        <v>P9</v>
      </c>
      <c r="B12" s="16" t="str">
        <f aca="false">'Matriz Vester'!B14</f>
        <v>Falta de pruebas y validación de datos en los CRUD</v>
      </c>
      <c r="C12" s="17" t="n">
        <f aca="false">'Matriz Vester'!O14</f>
        <v>14</v>
      </c>
      <c r="D12" s="17" t="n">
        <f aca="false">INDEX('Matriz Vester'!$C$18:$N$18,1,ROWS($D$4:D12))</f>
        <v>16</v>
      </c>
      <c r="E12" s="17" t="n">
        <f aca="false">C12*D12</f>
        <v>224</v>
      </c>
      <c r="F12" s="18" t="n">
        <f aca="false">IF(D12=0,"Exógeno",C12/D12*100)</f>
        <v>87.5</v>
      </c>
      <c r="G12" s="15" t="str">
        <f aca="false">IF(AND(C12&gt;$C$17,D12&gt;$C$18),"Crítico",IF(C12&gt;$C$17,"Activo",IF(D12&gt;$C$18,"Pasivo","Indiferente")))</f>
        <v>Crítico</v>
      </c>
    </row>
    <row r="13" customFormat="false" ht="30" hidden="false" customHeight="true" outlineLevel="0" collapsed="false">
      <c r="A13" s="15" t="str">
        <f aca="false">'Matriz Vester'!A15</f>
        <v>P10</v>
      </c>
      <c r="B13" s="16" t="str">
        <f aca="false">'Matriz Vester'!B15</f>
        <v>Trabajo en equipo y control de versiones (GitHub) deficientes</v>
      </c>
      <c r="C13" s="17" t="n">
        <f aca="false">'Matriz Vester'!O15</f>
        <v>16</v>
      </c>
      <c r="D13" s="17" t="n">
        <f aca="false">INDEX('Matriz Vester'!$C$18:$N$18,1,ROWS($D$4:D13))</f>
        <v>4</v>
      </c>
      <c r="E13" s="17" t="n">
        <f aca="false">C13*D13</f>
        <v>64</v>
      </c>
      <c r="F13" s="18" t="n">
        <f aca="false">IF(D13=0,"Exógeno",C13/D13*100)</f>
        <v>400</v>
      </c>
      <c r="G13" s="15" t="str">
        <f aca="false">IF(AND(C13&gt;$C$17,D13&gt;$C$18),"Crítico",IF(C13&gt;$C$17,"Activo",IF(D13&gt;$C$18,"Pasivo","Indiferente")))</f>
        <v>Activo</v>
      </c>
    </row>
    <row r="14" customFormat="false" ht="30" hidden="false" customHeight="true" outlineLevel="0" collapsed="false">
      <c r="A14" s="15" t="str">
        <f aca="false">'Matriz Vester'!A16</f>
        <v>P11</v>
      </c>
      <c r="B14" s="16" t="str">
        <f aca="false">'Matriz Vester'!B16</f>
        <v>Planeación y gestión del tiempo insuficientes frente al alcance</v>
      </c>
      <c r="C14" s="17" t="n">
        <f aca="false">'Matriz Vester'!O16</f>
        <v>18</v>
      </c>
      <c r="D14" s="17" t="n">
        <f aca="false">INDEX('Matriz Vester'!$C$18:$N$18,1,ROWS($D$4:D14))</f>
        <v>13</v>
      </c>
      <c r="E14" s="17" t="n">
        <f aca="false">C14*D14</f>
        <v>234</v>
      </c>
      <c r="F14" s="18" t="n">
        <f aca="false">IF(D14=0,"Exógeno",C14/D14*100)</f>
        <v>138.461538461538</v>
      </c>
      <c r="G14" s="15" t="str">
        <f aca="false">IF(AND(C14&gt;$C$17,D14&gt;$C$18),"Crítico",IF(C14&gt;$C$17,"Activo",IF(D14&gt;$C$18,"Pasivo","Indiferente")))</f>
        <v>Crítico</v>
      </c>
    </row>
    <row r="15" customFormat="false" ht="30" hidden="false" customHeight="true" outlineLevel="0" collapsed="false">
      <c r="A15" s="15" t="str">
        <f aca="false">'Matriz Vester'!A17</f>
        <v>P12</v>
      </c>
      <c r="B15" s="16" t="str">
        <f aca="false">'Matriz Vester'!B17</f>
        <v>Bajo dominio de las tecnologías del curso (HTML5, CSS, Bootstrap, JS/TS, MVC)</v>
      </c>
      <c r="C15" s="17" t="n">
        <f aca="false">'Matriz Vester'!O17</f>
        <v>21</v>
      </c>
      <c r="D15" s="17" t="n">
        <f aca="false">INDEX('Matriz Vester'!$C$18:$N$18,1,ROWS($D$4:D15))</f>
        <v>2</v>
      </c>
      <c r="E15" s="17" t="n">
        <f aca="false">C15*D15</f>
        <v>42</v>
      </c>
      <c r="F15" s="18" t="n">
        <f aca="false">IF(D15=0,"Exógeno",C15/D15*100)</f>
        <v>1050</v>
      </c>
      <c r="G15" s="15" t="str">
        <f aca="false">IF(AND(C15&gt;$C$17,D15&gt;$C$18),"Crítico",IF(C15&gt;$C$17,"Activo",IF(D15&gt;$C$18,"Pasivo","Indiferente")))</f>
        <v>Activo</v>
      </c>
    </row>
    <row r="17" customFormat="false" ht="15" hidden="false" customHeight="false" outlineLevel="0" collapsed="false">
      <c r="B17" s="11" t="s">
        <v>42</v>
      </c>
      <c r="C17" s="19" t="n">
        <f aca="false">AVERAGE(C4:C15)</f>
        <v>11.75</v>
      </c>
    </row>
    <row r="18" customFormat="false" ht="15" hidden="false" customHeight="false" outlineLevel="0" collapsed="false">
      <c r="B18" s="11" t="s">
        <v>43</v>
      </c>
      <c r="C18" s="19" t="n">
        <f aca="false">AVERAGE(D4:D15)</f>
        <v>11.75</v>
      </c>
    </row>
    <row r="19" customFormat="false" ht="15" hidden="false" customHeight="false" outlineLevel="0" collapsed="false">
      <c r="B19" s="11" t="s">
        <v>44</v>
      </c>
      <c r="C19" s="19" t="str">
        <f aca="false">IF(SUM(C4:C15)=SUM(D4:D15),"OK","Revisar")</f>
        <v>OK</v>
      </c>
    </row>
    <row r="21" customFormat="false" ht="15" hidden="false" customHeight="true" outlineLevel="0" collapsed="false">
      <c r="A21" s="20" t="s">
        <v>45</v>
      </c>
      <c r="B21" s="20"/>
      <c r="C21" s="20"/>
      <c r="D21" s="20"/>
      <c r="E21" s="20"/>
      <c r="F21" s="20"/>
      <c r="G21" s="20"/>
    </row>
    <row r="22" customFormat="false" ht="15" hidden="false" customHeight="false" outlineLevel="0" collapsed="false">
      <c r="A22" s="20"/>
      <c r="B22" s="20"/>
      <c r="C22" s="20"/>
      <c r="D22" s="20"/>
      <c r="E22" s="20"/>
      <c r="F22" s="20"/>
      <c r="G22" s="20"/>
    </row>
    <row r="23" customFormat="false" ht="15" hidden="false" customHeight="false" outlineLevel="0" collapsed="false">
      <c r="A23" s="20"/>
      <c r="B23" s="20"/>
      <c r="C23" s="20"/>
      <c r="D23" s="20"/>
      <c r="E23" s="20"/>
      <c r="F23" s="20"/>
      <c r="G23" s="20"/>
    </row>
    <row r="25" customFormat="false" ht="15" hidden="false" customHeight="false" outlineLevel="0" collapsed="false">
      <c r="A25" s="21" t="s">
        <v>46</v>
      </c>
    </row>
    <row r="26" customFormat="false" ht="15" hidden="false" customHeight="false" outlineLevel="0" collapsed="false">
      <c r="A26" s="21" t="s">
        <v>47</v>
      </c>
      <c r="B26" s="21" t="s">
        <v>48</v>
      </c>
      <c r="C26" s="21" t="s">
        <v>49</v>
      </c>
    </row>
    <row r="27" customFormat="false" ht="15" hidden="false" customHeight="false" outlineLevel="0" collapsed="false">
      <c r="A27" s="22" t="s">
        <v>50</v>
      </c>
      <c r="B27" s="23" t="n">
        <f aca="false">C18</f>
        <v>11.75</v>
      </c>
      <c r="C27" s="22" t="n">
        <v>0</v>
      </c>
    </row>
    <row r="28" customFormat="false" ht="15" hidden="false" customHeight="false" outlineLevel="0" collapsed="false">
      <c r="A28" s="22" t="s">
        <v>50</v>
      </c>
      <c r="B28" s="23" t="n">
        <f aca="false">C18</f>
        <v>11.75</v>
      </c>
      <c r="C28" s="22" t="n">
        <v>25</v>
      </c>
    </row>
    <row r="29" customFormat="false" ht="15" hidden="false" customHeight="false" outlineLevel="0" collapsed="false">
      <c r="A29" s="22" t="s">
        <v>51</v>
      </c>
      <c r="B29" s="22" t="n">
        <v>0</v>
      </c>
      <c r="C29" s="23" t="n">
        <f aca="false">C17</f>
        <v>11.75</v>
      </c>
    </row>
    <row r="30" customFormat="false" ht="15" hidden="false" customHeight="false" outlineLevel="0" collapsed="false">
      <c r="A30" s="22" t="s">
        <v>51</v>
      </c>
      <c r="B30" s="22" t="n">
        <v>25</v>
      </c>
      <c r="C30" s="23" t="n">
        <f aca="false">C17</f>
        <v>11.75</v>
      </c>
    </row>
    <row r="31" customFormat="false" ht="15" hidden="false" customHeight="false" outlineLevel="0" collapsed="false">
      <c r="A31" s="22" t="s">
        <v>52</v>
      </c>
      <c r="B31" s="22" t="n">
        <v>3.25</v>
      </c>
      <c r="C31" s="22" t="n">
        <v>23.75</v>
      </c>
    </row>
    <row r="32" customFormat="false" ht="15" hidden="false" customHeight="false" outlineLevel="0" collapsed="false">
      <c r="A32" s="22" t="s">
        <v>53</v>
      </c>
      <c r="B32" s="22" t="n">
        <v>21.25</v>
      </c>
      <c r="C32" s="22" t="n">
        <v>23.75</v>
      </c>
    </row>
    <row r="33" customFormat="false" ht="15" hidden="false" customHeight="false" outlineLevel="0" collapsed="false">
      <c r="A33" s="22" t="s">
        <v>54</v>
      </c>
      <c r="B33" s="22" t="n">
        <v>21.25</v>
      </c>
      <c r="C33" s="22" t="n">
        <v>1.25</v>
      </c>
    </row>
    <row r="34" customFormat="false" ht="15" hidden="false" customHeight="false" outlineLevel="0" collapsed="false">
      <c r="A34" s="22" t="s">
        <v>55</v>
      </c>
      <c r="B34" s="22" t="n">
        <v>3.5</v>
      </c>
      <c r="C34" s="22" t="n">
        <v>1.25</v>
      </c>
    </row>
  </sheetData>
  <mergeCells count="2">
    <mergeCell ref="A1:H1"/>
    <mergeCell ref="A21:G23"/>
  </mergeCells>
  <conditionalFormatting sqref="G4:G15">
    <cfRule type="expression" priority="2" aboveAverage="0" equalAverage="0" bottom="0" percent="0" rank="0" text="" dxfId="0">
      <formula>$G4="Crítico"</formula>
    </cfRule>
    <cfRule type="expression" priority="3" aboveAverage="0" equalAverage="0" bottom="0" percent="0" rank="0" text="" dxfId="1">
      <formula>$G4="Activo"</formula>
    </cfRule>
    <cfRule type="expression" priority="4" aboveAverage="0" equalAverage="0" bottom="0" percent="0" rank="0" text="" dxfId="2">
      <formula>$G4="Pasivo"</formula>
    </cfRule>
    <cfRule type="expression" priority="5" aboveAverage="0" equalAverage="0" bottom="0" percent="0" rank="0" text="" dxfId="3">
      <formula>$G4="Indiferente"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8"/>
    <col collapsed="false" customWidth="true" hidden="false" outlineLevel="0" max="3" min="3" style="0" width="90"/>
  </cols>
  <sheetData>
    <row r="1" customFormat="false" ht="27.75" hidden="false" customHeight="true" outlineLevel="0" collapsed="false">
      <c r="A1" s="14" t="s">
        <v>56</v>
      </c>
      <c r="B1" s="14"/>
      <c r="C1" s="14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57</v>
      </c>
    </row>
    <row r="4" customFormat="false" ht="43.5" hidden="false" customHeight="true" outlineLevel="0" collapsed="false">
      <c r="A4" s="24" t="str">
        <f aca="false">'Matriz Vester'!A6</f>
        <v>P1</v>
      </c>
      <c r="B4" s="16" t="str">
        <f aca="false">'Matriz Vester'!B6</f>
        <v>Análisis y modelado UML incompletos (requisitos poco claros)</v>
      </c>
      <c r="C4" s="16" t="s">
        <v>58</v>
      </c>
    </row>
    <row r="5" customFormat="false" ht="43.5" hidden="false" customHeight="true" outlineLevel="0" collapsed="false">
      <c r="A5" s="24" t="str">
        <f aca="false">'Matriz Vester'!A7</f>
        <v>P2</v>
      </c>
      <c r="B5" s="16" t="str">
        <f aca="false">'Matriz Vester'!B7</f>
        <v>Diseño de la base de datos relacional inconsistente (PostgreSQL)</v>
      </c>
      <c r="C5" s="16" t="s">
        <v>59</v>
      </c>
    </row>
    <row r="6" customFormat="false" ht="43.5" hidden="false" customHeight="true" outlineLevel="0" collapsed="false">
      <c r="A6" s="24" t="str">
        <f aca="false">'Matriz Vester'!A8</f>
        <v>P3</v>
      </c>
      <c r="B6" s="16" t="str">
        <f aca="false">'Matriz Vester'!B8</f>
        <v>Reglas de negocio mal implementadas (estados, capacidad y reservas)</v>
      </c>
      <c r="C6" s="16" t="s">
        <v>60</v>
      </c>
    </row>
    <row r="7" customFormat="false" ht="43.5" hidden="false" customHeight="true" outlineLevel="0" collapsed="false">
      <c r="A7" s="24" t="str">
        <f aca="false">'Matriz Vester'!A9</f>
        <v>P4</v>
      </c>
      <c r="B7" s="16" t="str">
        <f aca="false">'Matriz Vester'!B9</f>
        <v>Comunicación deficiente entre frontend, backend y base de datos</v>
      </c>
      <c r="C7" s="16" t="s">
        <v>61</v>
      </c>
    </row>
    <row r="8" customFormat="false" ht="43.5" hidden="false" customHeight="true" outlineLevel="0" collapsed="false">
      <c r="A8" s="24" t="str">
        <f aca="false">'Matriz Vester'!A10</f>
        <v>P5</v>
      </c>
      <c r="B8" s="16" t="str">
        <f aca="false">'Matriz Vester'!B10</f>
        <v>Autenticación, registro y control de acceso por perfil débiles</v>
      </c>
      <c r="C8" s="16" t="s">
        <v>62</v>
      </c>
    </row>
    <row r="9" customFormat="false" ht="43.5" hidden="false" customHeight="true" outlineLevel="0" collapsed="false">
      <c r="A9" s="24" t="str">
        <f aca="false">'Matriz Vester'!A11</f>
        <v>P6</v>
      </c>
      <c r="B9" s="16" t="str">
        <f aca="false">'Matriz Vester'!B11</f>
        <v>Interfaz de usuario poco usable o no responsiva</v>
      </c>
      <c r="C9" s="16" t="s">
        <v>63</v>
      </c>
    </row>
    <row r="10" customFormat="false" ht="43.5" hidden="false" customHeight="true" outlineLevel="0" collapsed="false">
      <c r="A10" s="24" t="str">
        <f aca="false">'Matriz Vester'!A12</f>
        <v>P7</v>
      </c>
      <c r="B10" s="16" t="str">
        <f aca="false">'Matriz Vester'!B12</f>
        <v>Dashboard y reportes del administrador incorrectos o incompletos</v>
      </c>
      <c r="C10" s="16" t="s">
        <v>64</v>
      </c>
    </row>
    <row r="11" customFormat="false" ht="43.5" hidden="false" customHeight="true" outlineLevel="0" collapsed="false">
      <c r="A11" s="24" t="str">
        <f aca="false">'Matriz Vester'!A13</f>
        <v>P8</v>
      </c>
      <c r="B11" s="16" t="str">
        <f aca="false">'Matriz Vester'!B13</f>
        <v>Mapa con ubicación en tiempo real impreciso o desactualizado</v>
      </c>
      <c r="C11" s="16" t="s">
        <v>65</v>
      </c>
    </row>
    <row r="12" customFormat="false" ht="43.5" hidden="false" customHeight="true" outlineLevel="0" collapsed="false">
      <c r="A12" s="24" t="str">
        <f aca="false">'Matriz Vester'!A14</f>
        <v>P9</v>
      </c>
      <c r="B12" s="16" t="str">
        <f aca="false">'Matriz Vester'!B14</f>
        <v>Falta de pruebas y validación de datos en los CRUD</v>
      </c>
      <c r="C12" s="16" t="s">
        <v>66</v>
      </c>
    </row>
    <row r="13" customFormat="false" ht="43.5" hidden="false" customHeight="true" outlineLevel="0" collapsed="false">
      <c r="A13" s="24" t="str">
        <f aca="false">'Matriz Vester'!A15</f>
        <v>P10</v>
      </c>
      <c r="B13" s="16" t="str">
        <f aca="false">'Matriz Vester'!B15</f>
        <v>Trabajo en equipo y control de versiones (GitHub) deficientes</v>
      </c>
      <c r="C13" s="16" t="s">
        <v>67</v>
      </c>
    </row>
    <row r="14" customFormat="false" ht="43.5" hidden="false" customHeight="true" outlineLevel="0" collapsed="false">
      <c r="A14" s="24" t="str">
        <f aca="false">'Matriz Vester'!A16</f>
        <v>P11</v>
      </c>
      <c r="B14" s="16" t="str">
        <f aca="false">'Matriz Vester'!B16</f>
        <v>Planeación y gestión del tiempo insuficientes frente al alcance</v>
      </c>
      <c r="C14" s="16" t="s">
        <v>68</v>
      </c>
    </row>
    <row r="15" customFormat="false" ht="43.5" hidden="false" customHeight="true" outlineLevel="0" collapsed="false">
      <c r="A15" s="24" t="str">
        <f aca="false">'Matriz Vester'!A17</f>
        <v>P12</v>
      </c>
      <c r="B15" s="16" t="str">
        <f aca="false">'Matriz Vester'!B17</f>
        <v>Bajo dominio de las tecnologías del curso (HTML5, CSS, Bootstrap, JS/TS, MVC)</v>
      </c>
      <c r="C15" s="16" t="s">
        <v>69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2026-09-19T20:38:55Z</dcterms:created>
  <dc:creator>openpyxl</dc:creator>
  <dc:description/>
  <dc:language>en-US</dc:language>
  <cp:lastModifiedBy/>
  <dcterms:modified xsi:type="dcterms:W3CDTF">2026-09-19T20:38:57Z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